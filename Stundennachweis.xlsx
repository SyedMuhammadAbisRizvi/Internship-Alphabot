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VN\AlphaBot\Orga\"/>
    </mc:Choice>
  </mc:AlternateContent>
  <xr:revisionPtr revIDLastSave="0" documentId="13_ncr:1_{9F464B99-2A12-408E-9BB1-CC37B916E7A7}" xr6:coauthVersionLast="36" xr6:coauthVersionMax="36" xr10:uidLastSave="{00000000-0000-0000-0000-000000000000}"/>
  <workbookProtection workbookPassword="8177" lockStructure="1"/>
  <bookViews>
    <workbookView xWindow="0" yWindow="0" windowWidth="21570" windowHeight="8730" tabRatio="561" xr2:uid="{00000000-000D-0000-FFFF-FFFF00000000}"/>
  </bookViews>
  <sheets>
    <sheet name="SHK Stundennachweis" sheetId="1" r:id="rId1"/>
  </sheets>
  <definedNames>
    <definedName name="_xlnm.Print_Area" localSheetId="0">'SHK Stundennachweis'!$A$1:$K$124</definedName>
  </definedNames>
  <calcPr calcId="191029"/>
</workbook>
</file>

<file path=xl/calcChain.xml><?xml version="1.0" encoding="utf-8"?>
<calcChain xmlns="http://schemas.openxmlformats.org/spreadsheetml/2006/main">
  <c r="I113" i="1" l="1"/>
  <c r="I112" i="1" l="1"/>
</calcChain>
</file>

<file path=xl/sharedStrings.xml><?xml version="1.0" encoding="utf-8"?>
<sst xmlns="http://schemas.openxmlformats.org/spreadsheetml/2006/main" count="139" uniqueCount="117">
  <si>
    <t>Ort, Datum</t>
  </si>
  <si>
    <t>_______________________________________</t>
  </si>
  <si>
    <t>_______________________________________________</t>
  </si>
  <si>
    <t>Pausencheck</t>
  </si>
  <si>
    <t>IstPause</t>
  </si>
  <si>
    <t>Arbeitszeit von mehr als 9 Stunden eine Unterbrechung von mindestens 45 Minuten. Die maximale Arbeitszeit darf 10 Stunden / Tag nicht überschreiten.</t>
  </si>
  <si>
    <t xml:space="preserve">Bitte beachten Sie, dass bei einer Arbeitszeit von mehr als 6 Stunden das Arbeitszeitgesetz eine Arbeitszeitunterbrechung von mindestens 30 Minuten vorsieht. Bei einer </t>
  </si>
  <si>
    <t>Ebenso ist die Ruhezeit vom mindestens 11 Stunden nach jedem Arbeitstag einzuhalten! Weitere Infos im ArbZG.</t>
  </si>
  <si>
    <t>Hinweise:</t>
  </si>
  <si>
    <t>Datum</t>
  </si>
  <si>
    <t>Thema</t>
  </si>
  <si>
    <t>Anfang [hh:mm]</t>
  </si>
  <si>
    <t>Ende [hh:mm]</t>
  </si>
  <si>
    <t>Pause [hh:mm]</t>
  </si>
  <si>
    <t>SollPause (Minimum)</t>
  </si>
  <si>
    <t>Stunden Ist [h]</t>
  </si>
  <si>
    <t>Betreuender Professor (Vorgesetzter)</t>
  </si>
  <si>
    <r>
      <rPr>
        <b/>
        <sz val="20"/>
        <color theme="1"/>
        <rFont val="Calibri"/>
        <family val="2"/>
        <scheme val="minor"/>
      </rPr>
      <t>Formular: Stundennachweis für Praxissemester-Studenten</t>
    </r>
    <r>
      <rPr>
        <b/>
        <sz val="18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Vorname Name des Studenten:
Zuständiger Professor (Vorgesetzter):</t>
    </r>
  </si>
  <si>
    <t>Beginn des Praxissemesters:</t>
  </si>
  <si>
    <t>Ende des Praxissemesters:</t>
  </si>
  <si>
    <t>Laufzeit in Kalenderwochen (Anzahl):</t>
  </si>
  <si>
    <t>Stundenanzahl pro Woche:</t>
  </si>
  <si>
    <t>Bitte den Stundennachweis ausfüllen und vom Vorgesetzten unterzeichnen lassen!
Urlaub auch in separate Zeile eintragen! Pro Jahr 30 Tage Urlaub!</t>
  </si>
  <si>
    <t>Student</t>
  </si>
  <si>
    <t xml:space="preserve">Die Verantwortlichkeit für die Einhaltung der vertraglich vereinbarten Arbeitszeit liegt beim Studenten und beim Dienstvorgesetzten. </t>
  </si>
  <si>
    <t>Zum Ende des Praxissemesters verfallen alle Mehrarbeitsstunden.</t>
  </si>
  <si>
    <t>16</t>
  </si>
  <si>
    <t>KW</t>
  </si>
  <si>
    <t>Soll:</t>
  </si>
  <si>
    <t>Link 1</t>
  </si>
  <si>
    <t>Link 2</t>
  </si>
  <si>
    <t>Arbeitsergebnisse</t>
  </si>
  <si>
    <t>Ist:</t>
  </si>
  <si>
    <t>Wki , SVN, Introduction to the Tasks  (Wheel, Gyroscope)</t>
  </si>
  <si>
    <t>https://eckstein-shop.de/Pololu-Ball-Caster-with-1-2-inch-Plastic-Ball-952?ws_oss_lieferland=CH&amp;gad_source=1&amp;gad_campaignid=22872305505&amp;gbraid=0AAAAADm3HmniBJBtbrYLa4QYNpQCux8yN&amp;gclid=EAIaIQobChMIvM_9i8uDkwMVNYuDBx3hsSXSEAQYASABEgKxGPD_BwE#31ea/embedded/m=and&amp;q=Pololu+Ball+Caster+with+1%2F2+inch</t>
  </si>
  <si>
    <t>02.03.2026</t>
  </si>
  <si>
    <t>21.06.2026</t>
  </si>
  <si>
    <t>https://amzn.eu/d/0bVT27Vr</t>
  </si>
  <si>
    <t>https://www.roboter-bausatz.de/p/lenkrolle-smart-car-roboter?_gl=1*omimxw*_up*MQ..*_gs*MQ..&amp;gclid=EAIaIQobChMI6KTry-mFkwMV36n9BR2w0yrNEAQYASABEgKQ8vD_BwE&amp;gbraid=0AAAAADKFiCBgAu8TWvch8G_NRY6ZFHo2x</t>
  </si>
  <si>
    <t>https://www.hafele.com/us/en/product/roller-mini-swivel-caster-with-retractable-wheel-load-bearing-capacity-15-45-kg-with-braking-function-free-running/P-00869451/</t>
  </si>
  <si>
    <t>https://www.electrokit.com/en/stodhjul-25mm</t>
  </si>
  <si>
    <t>https://www.waveshare.com/alphabot-pi.htm</t>
  </si>
  <si>
    <t>https://wagner-system.de/it/rollen-raeder/roller-mini-max-lenkrolle-ro-7087.html</t>
  </si>
  <si>
    <t>looked for appropriate wheel size suitable for Alpha bot,Recieved gyro sensor Gy-85</t>
  </si>
  <si>
    <t>Link 3</t>
  </si>
  <si>
    <t>Link 4</t>
  </si>
  <si>
    <t>Gyro sensor connection and mounting on Alphabot, code implementation on Arduino</t>
  </si>
  <si>
    <t>Learn Simulilnk online Tutorial/Matlab</t>
  </si>
  <si>
    <t>Got Simulink Onramp Certificate / started working with the source code</t>
  </si>
  <si>
    <t>worked on gyro yaw rate code on Ardiuno/Matlab Onramp Certificate</t>
  </si>
  <si>
    <t xml:space="preserve">Matlab:  code for Alpha bot </t>
  </si>
  <si>
    <t>Matlab/Simulink : Tried implementation</t>
  </si>
  <si>
    <t>Arduino: Alpha bot run test through  focused on lane detection</t>
  </si>
  <si>
    <t>Waveshare tracker sensor: 5-channel ITR20001/T infrared line tracker, PID control</t>
  </si>
  <si>
    <t>Wrote wiki article on  GY-85 sensor</t>
  </si>
  <si>
    <t>Tried to fix Simulink connetion error with Arduino Board</t>
  </si>
  <si>
    <t>13.30</t>
  </si>
  <si>
    <t>Tried toconncet pixy2 with Arduino Board</t>
  </si>
  <si>
    <t xml:space="preserve">Successfully programed pixy2 camera for line detection and motors are also running </t>
  </si>
  <si>
    <t>Successfully programed pixy2 camera for line detection and motors with gyro</t>
  </si>
  <si>
    <t>24.03.206</t>
  </si>
  <si>
    <t>Treid to implement blutooth modul</t>
  </si>
  <si>
    <t>Updated my hshl-wiki documentation and try to update my yaw rate code with yaw angle</t>
  </si>
  <si>
    <t>Yaw angle code working and bluetooth connceted</t>
  </si>
  <si>
    <t xml:space="preserve">Arduino Live Data monitoring on Matlab via Bluetooth </t>
  </si>
  <si>
    <t xml:space="preserve">Updated SVN and Wiki </t>
  </si>
  <si>
    <t>Worked on bluetooth modul connection</t>
  </si>
  <si>
    <t>Public Hodliday</t>
  </si>
  <si>
    <t xml:space="preserve">Starterd with Gantt Chart/ Uno R4 Received </t>
  </si>
  <si>
    <t>Stable connection established via wifi</t>
  </si>
  <si>
    <t>Fixed matlab not showing negative yaw  value issue</t>
  </si>
  <si>
    <t>Added Compass to matlab dashboard and switched my Uno board</t>
  </si>
  <si>
    <t>Fixed my code with the new uno board</t>
  </si>
  <si>
    <t>WLAN conncetion working with matlab</t>
  </si>
  <si>
    <t>IP address for browser display  http://192.168.1.23</t>
  </si>
  <si>
    <t>https://docs.pixycam.com/wiki/doku.php?id=wiki:v2:line_quickstart</t>
  </si>
  <si>
    <t xml:space="preserve">Mounted the new wheel and alpha bot now follows the white line </t>
  </si>
  <si>
    <t>Right Lane Detection fixed</t>
  </si>
  <si>
    <t>Work on Ardiuno code and Gantt Chart</t>
  </si>
  <si>
    <t>Fixed Arduino code and matlab code</t>
  </si>
  <si>
    <t>Added counter to my matlab and arduino</t>
  </si>
  <si>
    <t>work on Hshl wiki article anf Gantt Chart</t>
  </si>
  <si>
    <t>39.83</t>
  </si>
  <si>
    <t>work on Matlab code</t>
  </si>
  <si>
    <t>work on Arduino code</t>
  </si>
  <si>
    <t>work on task given by prof e.g PID controller/ Pixy2 test</t>
  </si>
  <si>
    <t>Control diagram</t>
  </si>
  <si>
    <t>Control Loop diagram</t>
  </si>
  <si>
    <t xml:space="preserve">work on task given by prof e.g PID controller/ Pixy2 verctor optimization </t>
  </si>
  <si>
    <t>offset and curvature code</t>
  </si>
  <si>
    <t xml:space="preserve">offset and curvature code/ angle </t>
  </si>
  <si>
    <t>offset,sideoffset and curvature</t>
  </si>
  <si>
    <t>offset and curvature</t>
  </si>
  <si>
    <t>PID with gyro</t>
  </si>
  <si>
    <t>pixy parameters and offset</t>
  </si>
  <si>
    <t>PID Controller</t>
  </si>
  <si>
    <t>PID tunning ,control loop,wiki article</t>
  </si>
  <si>
    <t>16.00</t>
  </si>
  <si>
    <t>Arduino Codes</t>
  </si>
  <si>
    <t>Arduino Codes Merged</t>
  </si>
  <si>
    <t>Recorded Alphabot movements on track/ updated wiki article</t>
  </si>
  <si>
    <t>Worked on MATLAB results</t>
  </si>
  <si>
    <t>MATLAB data recorded</t>
  </si>
  <si>
    <t>Mounted Prisma and PID tunning</t>
  </si>
  <si>
    <t>TopCon Prisma</t>
  </si>
  <si>
    <t>Top Prisma on MATLAB</t>
  </si>
  <si>
    <t>worked on TopCon and Gyro</t>
  </si>
  <si>
    <t>MATLAB data recorded and Alphbot wiring</t>
  </si>
  <si>
    <t>Yaw vs Topcon</t>
  </si>
  <si>
    <t>Control Loop and Topcon</t>
  </si>
  <si>
    <t xml:space="preserve">Control Loop </t>
  </si>
  <si>
    <t>Control Loop and New Ardunio Code</t>
  </si>
  <si>
    <t>Wiki Article</t>
  </si>
  <si>
    <t xml:space="preserve"> </t>
  </si>
  <si>
    <t>Holdiay Week</t>
  </si>
  <si>
    <t>Arduino Code and Wiki Article</t>
  </si>
  <si>
    <t>Arduino Code, Gantt Chart,Wiki Article and SVN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</si>
</sst>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20212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5999938962981048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theme="4" tint="0.59999389629810485"/>
      </patternFill>
    </fill>
    <fill>
      <patternFill patternType="solid">
        <fgColor theme="4" tint="0.59999389629810485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1" fillId="0" borderId="0" xfId="0" applyFont="1" applyBorder="1"/>
    <xf numFmtId="49" fontId="0" fillId="3" borderId="1" xfId="0" applyNumberFormat="1" applyFill="1" applyBorder="1" applyAlignment="1" applyProtection="1">
      <alignment horizontal="right"/>
      <protection locked="0"/>
    </xf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Protection="1">
      <protection locked="0"/>
    </xf>
    <xf numFmtId="0" fontId="8" fillId="0" borderId="0" xfId="0" applyFont="1" applyFill="1" applyBorder="1" applyAlignment="1" applyProtection="1">
      <alignment horizontal="center" vertical="center"/>
      <protection locked="0"/>
    </xf>
    <xf numFmtId="14" fontId="0" fillId="0" borderId="0" xfId="0" applyNumberFormat="1" applyFill="1" applyBorder="1" applyAlignment="1" applyProtection="1">
      <alignment horizontal="center" vertical="center"/>
      <protection locked="0"/>
    </xf>
    <xf numFmtId="164" fontId="0" fillId="0" borderId="0" xfId="0" applyNumberFormat="1" applyFill="1" applyBorder="1" applyAlignment="1" applyProtection="1">
      <alignment horizontal="center" vertical="center"/>
      <protection locked="0"/>
    </xf>
    <xf numFmtId="164" fontId="0" fillId="2" borderId="0" xfId="0" applyNumberFormat="1" applyFill="1" applyBorder="1" applyAlignment="1">
      <alignment horizontal="center" vertical="center"/>
    </xf>
    <xf numFmtId="2" fontId="0" fillId="2" borderId="0" xfId="0" applyNumberFormat="1" applyFill="1" applyBorder="1"/>
    <xf numFmtId="2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49" fontId="0" fillId="0" borderId="0" xfId="0" applyNumberFormat="1" applyFill="1" applyBorder="1" applyProtection="1">
      <protection locked="0"/>
    </xf>
    <xf numFmtId="49" fontId="0" fillId="0" borderId="0" xfId="0" applyNumberFormat="1" applyFill="1" applyBorder="1" applyAlignment="1" applyProtection="1">
      <alignment wrapText="1"/>
      <protection locked="0"/>
    </xf>
    <xf numFmtId="0" fontId="0" fillId="0" borderId="0" xfId="0" applyFill="1" applyBorder="1" applyProtection="1">
      <protection locked="0"/>
    </xf>
    <xf numFmtId="0" fontId="1" fillId="0" borderId="0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14" fontId="0" fillId="0" borderId="0" xfId="0" applyNumberFormat="1" applyFill="1" applyBorder="1" applyAlignment="1" applyProtection="1">
      <alignment horizontal="center" vertical="center"/>
      <protection locked="0"/>
    </xf>
    <xf numFmtId="14" fontId="0" fillId="0" borderId="0" xfId="0" applyNumberFormat="1" applyFill="1" applyAlignment="1" applyProtection="1">
      <alignment horizontal="center" vertical="center"/>
      <protection locked="0"/>
    </xf>
    <xf numFmtId="164" fontId="0" fillId="0" borderId="0" xfId="0" applyNumberFormat="1" applyFill="1" applyAlignment="1" applyProtection="1">
      <alignment horizontal="center" vertical="center"/>
      <protection locked="0"/>
    </xf>
    <xf numFmtId="2" fontId="1" fillId="2" borderId="0" xfId="0" applyNumberFormat="1" applyFont="1" applyFill="1"/>
    <xf numFmtId="2" fontId="0" fillId="2" borderId="0" xfId="0" applyNumberFormat="1" applyFill="1"/>
    <xf numFmtId="2" fontId="1" fillId="2" borderId="0" xfId="0" applyNumberFormat="1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49" fontId="0" fillId="0" borderId="0" xfId="0" applyNumberFormat="1" applyFill="1" applyProtection="1">
      <protection locked="0"/>
    </xf>
    <xf numFmtId="49" fontId="1" fillId="0" borderId="0" xfId="0" applyNumberFormat="1" applyFont="1" applyFill="1" applyBorder="1" applyAlignment="1" applyProtection="1">
      <alignment horizontal="center"/>
      <protection locked="0"/>
    </xf>
    <xf numFmtId="164" fontId="1" fillId="2" borderId="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49" fontId="0" fillId="0" borderId="0" xfId="0" applyNumberFormat="1" applyFill="1" applyAlignment="1" applyProtection="1">
      <alignment horizontal="center"/>
      <protection locked="0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/>
    <xf numFmtId="2" fontId="0" fillId="2" borderId="0" xfId="0" applyNumberFormat="1" applyFont="1" applyFill="1" applyBorder="1" applyAlignment="1">
      <alignment horizontal="center" vertical="center"/>
    </xf>
    <xf numFmtId="0" fontId="9" fillId="0" borderId="0" xfId="1" applyFill="1" applyBorder="1" applyProtection="1"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0" fontId="9" fillId="0" borderId="0" xfId="1" applyFill="1" applyProtection="1">
      <protection locked="0"/>
    </xf>
    <xf numFmtId="0" fontId="0" fillId="2" borderId="0" xfId="0" applyNumberFormat="1" applyFill="1" applyBorder="1" applyAlignment="1">
      <alignment horizontal="center" vertical="center"/>
    </xf>
    <xf numFmtId="14" fontId="0" fillId="0" borderId="0" xfId="0" applyNumberFormat="1"/>
    <xf numFmtId="0" fontId="10" fillId="0" borderId="0" xfId="0" applyFont="1" applyAlignment="1">
      <alignment horizontal="left" vertical="center" wrapText="1" indent="1"/>
    </xf>
    <xf numFmtId="2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 vertical="center"/>
    </xf>
    <xf numFmtId="0" fontId="0" fillId="4" borderId="2" xfId="0" applyFont="1" applyFill="1" applyBorder="1"/>
    <xf numFmtId="164" fontId="0" fillId="2" borderId="2" xfId="0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0" fontId="0" fillId="4" borderId="5" xfId="0" applyFont="1" applyFill="1" applyBorder="1"/>
    <xf numFmtId="0" fontId="1" fillId="4" borderId="2" xfId="0" applyNumberFormat="1" applyFont="1" applyFill="1" applyBorder="1" applyAlignment="1">
      <alignment horizontal="center"/>
    </xf>
    <xf numFmtId="49" fontId="0" fillId="4" borderId="2" xfId="0" applyNumberFormat="1" applyFont="1" applyFill="1" applyBorder="1"/>
    <xf numFmtId="0" fontId="1" fillId="6" borderId="0" xfId="0" applyNumberFormat="1" applyFont="1" applyFill="1" applyBorder="1" applyAlignment="1" applyProtection="1">
      <alignment horizontal="center"/>
      <protection locked="0"/>
    </xf>
    <xf numFmtId="14" fontId="0" fillId="6" borderId="0" xfId="0" applyNumberFormat="1" applyFill="1" applyAlignment="1" applyProtection="1">
      <alignment horizontal="center" vertical="center"/>
      <protection locked="0"/>
    </xf>
    <xf numFmtId="164" fontId="0" fillId="6" borderId="0" xfId="0" applyNumberFormat="1" applyFill="1" applyAlignment="1" applyProtection="1">
      <alignment horizontal="center" vertical="center"/>
      <protection locked="0"/>
    </xf>
    <xf numFmtId="49" fontId="0" fillId="6" borderId="0" xfId="0" applyNumberFormat="1" applyFill="1" applyProtection="1">
      <protection locked="0"/>
    </xf>
    <xf numFmtId="49" fontId="0" fillId="7" borderId="2" xfId="0" applyNumberFormat="1" applyFont="1" applyFill="1" applyBorder="1"/>
    <xf numFmtId="2" fontId="0" fillId="2" borderId="2" xfId="0" applyNumberFormat="1" applyFont="1" applyFill="1" applyBorder="1" applyAlignment="1">
      <alignment horizontal="center" vertical="center"/>
    </xf>
    <xf numFmtId="2" fontId="0" fillId="2" borderId="4" xfId="0" applyNumberFormat="1" applyFont="1" applyFill="1" applyBorder="1" applyAlignment="1">
      <alignment horizontal="center" vertical="center"/>
    </xf>
    <xf numFmtId="164" fontId="0" fillId="0" borderId="4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Fill="1" applyBorder="1" applyAlignment="1">
      <alignment horizontal="center" vertical="center"/>
    </xf>
    <xf numFmtId="49" fontId="1" fillId="0" borderId="4" xfId="0" applyNumberFormat="1" applyFont="1" applyFill="1" applyBorder="1" applyAlignment="1" applyProtection="1">
      <alignment horizontal="center"/>
      <protection locked="0"/>
    </xf>
    <xf numFmtId="2" fontId="1" fillId="2" borderId="0" xfId="0" applyNumberFormat="1" applyFont="1" applyFill="1" applyBorder="1"/>
    <xf numFmtId="2" fontId="1" fillId="2" borderId="0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Protection="1">
      <protection locked="0"/>
    </xf>
    <xf numFmtId="14" fontId="0" fillId="5" borderId="3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 applyProtection="1">
      <alignment horizontal="left"/>
      <protection locked="0"/>
    </xf>
    <xf numFmtId="0" fontId="0" fillId="2" borderId="2" xfId="0" applyFont="1" applyFill="1" applyBorder="1" applyAlignment="1">
      <alignment horizontal="center" vertical="center"/>
    </xf>
    <xf numFmtId="164" fontId="0" fillId="4" borderId="2" xfId="0" applyNumberFormat="1" applyFont="1" applyFill="1" applyBorder="1" applyAlignment="1">
      <alignment horizontal="center" vertical="center"/>
    </xf>
    <xf numFmtId="20" fontId="0" fillId="4" borderId="2" xfId="0" applyNumberFormat="1" applyFont="1" applyFill="1" applyBorder="1" applyAlignment="1">
      <alignment horizontal="center"/>
    </xf>
    <xf numFmtId="49" fontId="1" fillId="8" borderId="4" xfId="0" applyNumberFormat="1" applyFont="1" applyFill="1" applyBorder="1" applyAlignment="1" applyProtection="1">
      <alignment horizontal="center"/>
      <protection locked="0"/>
    </xf>
    <xf numFmtId="164" fontId="0" fillId="8" borderId="4" xfId="0" applyNumberFormat="1" applyFont="1" applyFill="1" applyBorder="1" applyAlignment="1" applyProtection="1">
      <alignment horizontal="center" vertical="center"/>
      <protection locked="0"/>
    </xf>
    <xf numFmtId="164" fontId="1" fillId="8" borderId="4" xfId="0" applyNumberFormat="1" applyFont="1" applyFill="1" applyBorder="1" applyAlignment="1" applyProtection="1">
      <alignment horizontal="center" vertical="center"/>
      <protection locked="0"/>
    </xf>
    <xf numFmtId="14" fontId="0" fillId="8" borderId="4" xfId="0" applyNumberFormat="1" applyFont="1" applyFill="1" applyBorder="1" applyAlignment="1" applyProtection="1">
      <alignment horizontal="center" vertical="center"/>
      <protection locked="0"/>
    </xf>
    <xf numFmtId="164" fontId="0" fillId="8" borderId="0" xfId="0" applyNumberFormat="1" applyFill="1" applyBorder="1" applyAlignment="1">
      <alignment horizontal="center" vertical="center"/>
    </xf>
    <xf numFmtId="164" fontId="0" fillId="8" borderId="0" xfId="0" applyNumberFormat="1" applyFill="1" applyBorder="1" applyAlignment="1" applyProtection="1">
      <alignment horizontal="center" vertical="center"/>
      <protection locked="0"/>
    </xf>
    <xf numFmtId="0" fontId="0" fillId="8" borderId="0" xfId="0" applyFill="1" applyBorder="1" applyProtection="1">
      <protection locked="0"/>
    </xf>
    <xf numFmtId="0" fontId="0" fillId="4" borderId="2" xfId="0" applyNumberFormat="1" applyFont="1" applyFill="1" applyBorder="1" applyAlignment="1">
      <alignment horizontal="left"/>
    </xf>
    <xf numFmtId="164" fontId="0" fillId="9" borderId="0" xfId="0" applyNumberFormat="1" applyFill="1" applyAlignment="1" applyProtection="1">
      <alignment horizontal="center" vertical="center"/>
      <protection locked="0"/>
    </xf>
    <xf numFmtId="164" fontId="0" fillId="2" borderId="0" xfId="0" applyNumberFormat="1" applyFill="1" applyAlignment="1" applyProtection="1">
      <alignment horizontal="center" vertical="center"/>
      <protection locked="0"/>
    </xf>
    <xf numFmtId="164" fontId="0" fillId="10" borderId="2" xfId="0" applyNumberFormat="1" applyFont="1" applyFill="1" applyBorder="1" applyAlignment="1">
      <alignment horizontal="center" vertical="center"/>
    </xf>
    <xf numFmtId="164" fontId="0" fillId="11" borderId="2" xfId="0" applyNumberFormat="1" applyFont="1" applyFill="1" applyBorder="1" applyAlignment="1">
      <alignment horizontal="center" vertical="center"/>
    </xf>
    <xf numFmtId="20" fontId="0" fillId="6" borderId="0" xfId="0" applyNumberFormat="1" applyFill="1" applyAlignment="1" applyProtection="1">
      <alignment horizontal="center" vertical="center"/>
      <protection locked="0"/>
    </xf>
    <xf numFmtId="0" fontId="0" fillId="4" borderId="2" xfId="0" applyNumberFormat="1" applyFont="1" applyFill="1" applyBorder="1" applyAlignment="1">
      <alignment horizontal="center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20" fontId="0" fillId="9" borderId="0" xfId="0" applyNumberFormat="1" applyFill="1" applyAlignment="1" applyProtection="1">
      <alignment horizontal="center" vertical="center"/>
      <protection locked="0"/>
    </xf>
    <xf numFmtId="49" fontId="0" fillId="8" borderId="0" xfId="0" applyNumberFormat="1" applyFill="1" applyProtection="1">
      <protection locked="0"/>
    </xf>
  </cellXfs>
  <cellStyles count="2">
    <cellStyle name="Link" xfId="1" builtinId="8"/>
    <cellStyle name="Standard" xfId="0" builtinId="0"/>
  </cellStyles>
  <dxfs count="53">
    <dxf>
      <fill>
        <patternFill>
          <bgColor rgb="FFFFC000"/>
        </patternFill>
      </fill>
    </dxf>
    <dxf>
      <numFmt numFmtId="164" formatCode="h:mm;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4" formatCode="h:mm;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numFmt numFmtId="164" formatCode="h:mm;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ill>
        <patternFill patternType="solid">
          <fgColor indexed="64"/>
          <bgColor theme="3" tint="0.79998168889431442"/>
        </patternFill>
      </fill>
      <border diagonalUp="0" diagonalDown="0" outline="0">
        <left/>
        <right/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h:mm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h:mm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h:mm;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h:mm;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h:mm;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protection locked="0" hidden="0"/>
    </dxf>
    <dxf>
      <numFmt numFmtId="30" formatCode="@"/>
      <fill>
        <patternFill patternType="none">
          <fgColor indexed="64"/>
          <bgColor auto="1"/>
        </patternFill>
      </fill>
      <protection locked="0" hidden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0.14999847407452621"/>
        </patternFill>
      </fill>
    </dxf>
    <dxf>
      <numFmt numFmtId="164" formatCode="h:mm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numFmt numFmtId="164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numFmt numFmtId="164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numFmt numFmtId="164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258856</xdr:colOff>
      <xdr:row>0</xdr:row>
      <xdr:rowOff>66115</xdr:rowOff>
    </xdr:from>
    <xdr:to>
      <xdr:col>10</xdr:col>
      <xdr:colOff>1220768</xdr:colOff>
      <xdr:row>0</xdr:row>
      <xdr:rowOff>934571</xdr:rowOff>
    </xdr:to>
    <xdr:pic>
      <xdr:nvPicPr>
        <xdr:cNvPr id="2" name="Grafik 14" descr="HsHL_Logo_14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652562" y="256615"/>
          <a:ext cx="997323" cy="8684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le3" displayName="Tabelle3" ref="A10:O93" totalsRowCount="1" headerRowDxfId="32" dataDxfId="31">
  <autoFilter ref="A10:O92" xr:uid="{00000000-0009-0000-0100-000003000000}"/>
  <tableColumns count="15">
    <tableColumn id="1" xr3:uid="{00000000-0010-0000-0000-000001000000}" name="Datum" dataDxfId="30" totalsRowDxfId="15"/>
    <tableColumn id="2" xr3:uid="{00000000-0010-0000-0000-000002000000}" name="KW" dataDxfId="29" totalsRowDxfId="14"/>
    <tableColumn id="3" xr3:uid="{00000000-0010-0000-0000-000003000000}" name="Anfang [hh:mm]" dataDxfId="28" totalsRowDxfId="13"/>
    <tableColumn id="4" xr3:uid="{00000000-0010-0000-0000-000004000000}" name="Ende [hh:mm]" dataDxfId="27" totalsRowDxfId="12"/>
    <tableColumn id="5" xr3:uid="{00000000-0010-0000-0000-000005000000}" name="Pause [hh:mm]" dataDxfId="26" totalsRowDxfId="11"/>
    <tableColumn id="6" xr3:uid="{00000000-0010-0000-0000-000006000000}" name="Pausencheck" dataDxfId="25" totalsRowDxfId="10"/>
    <tableColumn id="7" xr3:uid="{00000000-0010-0000-0000-000007000000}" name="IstPause" dataDxfId="24" totalsRowDxfId="9"/>
    <tableColumn id="8" xr3:uid="{00000000-0010-0000-0000-000008000000}" name="SollPause (Minimum)" dataDxfId="23" totalsRowDxfId="8"/>
    <tableColumn id="9" xr3:uid="{00000000-0010-0000-0000-000009000000}" name="Stunden Ist [h]" dataDxfId="22" totalsRowDxfId="7"/>
    <tableColumn id="11" xr3:uid="{00000000-0010-0000-0000-00000B000000}" name="Thema" dataDxfId="21" totalsRowDxfId="6"/>
    <tableColumn id="12" xr3:uid="{00000000-0010-0000-0000-00000C000000}" name="Arbeitsergebnisse" dataDxfId="20" totalsRowDxfId="5"/>
    <tableColumn id="10" xr3:uid="{00000000-0010-0000-0000-00000A000000}" name="Link 1" dataDxfId="19" totalsRowDxfId="4"/>
    <tableColumn id="13" xr3:uid="{00000000-0010-0000-0000-00000D000000}" name="Link 2" dataDxfId="18" totalsRowDxfId="3"/>
    <tableColumn id="14" xr3:uid="{4E8F8574-D57C-40FE-8C03-AC1E4F045C10}" name="Link 3" dataDxfId="17" totalsRowDxfId="2"/>
    <tableColumn id="15" xr3:uid="{6A685946-87A0-461B-897E-6BDF41952808}" name="Link 4" dataDxfId="16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hafele.com/us/en/product/roller-mini-swivel-caster-with-retractable-wheel-load-bearing-capacity-15-45-kg-with-braking-function-free-running/P-00869451/" TargetMode="External"/><Relationship Id="rId7" Type="http://schemas.openxmlformats.org/officeDocument/2006/relationships/hyperlink" Target="https://wagner-system.de/it/rollen-raeder/roller-mini-max-lenkrolle-ro-7087.html" TargetMode="External"/><Relationship Id="rId2" Type="http://schemas.openxmlformats.org/officeDocument/2006/relationships/hyperlink" Target="https://amzn.eu/d/0bVT27Vr" TargetMode="External"/><Relationship Id="rId1" Type="http://schemas.openxmlformats.org/officeDocument/2006/relationships/hyperlink" Target="https://eckstein-shop.de/Pololu-Ball-Caster-with-1-2-inch-Plastic-Ball-952?ws_oss_lieferland=CH&amp;gad_source=1&amp;gad_campaignid=22872305505&amp;gbraid=0AAAAADm3HmniBJBtbrYLa4QYNpQCux8yN&amp;gclid=EAIaIQobChMIvM_9i8uDkwMVNYuDBx3hsSXSEAQYASABEgKxGPD_BwE" TargetMode="External"/><Relationship Id="rId6" Type="http://schemas.openxmlformats.org/officeDocument/2006/relationships/hyperlink" Target="https://www.waveshare.com/alphabot-pi.htm" TargetMode="External"/><Relationship Id="rId5" Type="http://schemas.openxmlformats.org/officeDocument/2006/relationships/hyperlink" Target="https://www.electrokit.com/en/stodhjul-25m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roboter-bausatz.de/p/lenkrolle-smart-car-roboter?_gl=1*omimxw*_up*MQ..*_gs*MQ..&amp;gclid=EAIaIQobChMI6KTry-mFkwMV36n9BR2w0yrNEAQYASABEgKQ8vD_BwE&amp;gbraid=0AAAAADKFiCBgAu8TWvch8G_NRY6ZFHo2x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24"/>
  <sheetViews>
    <sheetView tabSelected="1" topLeftCell="A85" zoomScaleNormal="100" workbookViewId="0">
      <selection activeCell="J103" sqref="J103"/>
    </sheetView>
  </sheetViews>
  <sheetFormatPr baseColWidth="10" defaultColWidth="11.42578125" defaultRowHeight="15" x14ac:dyDescent="0.25"/>
  <cols>
    <col min="1" max="1" width="17.85546875" customWidth="1"/>
    <col min="2" max="2" width="6.5703125" customWidth="1"/>
    <col min="3" max="3" width="16.85546875" customWidth="1"/>
    <col min="4" max="4" width="15" customWidth="1"/>
    <col min="5" max="5" width="13.7109375" customWidth="1"/>
    <col min="6" max="6" width="16.42578125" customWidth="1"/>
    <col min="7" max="7" width="10.140625" hidden="1" customWidth="1"/>
    <col min="8" max="8" width="30.140625" hidden="1" customWidth="1"/>
    <col min="9" max="9" width="13.7109375" customWidth="1"/>
    <col min="10" max="10" width="81.42578125" style="4" customWidth="1"/>
    <col min="11" max="11" width="45.28515625" style="4" customWidth="1"/>
    <col min="12" max="12" width="68.85546875" style="4" customWidth="1"/>
    <col min="13" max="13" width="64" style="4" customWidth="1"/>
    <col min="14" max="39" width="11.42578125" style="4"/>
  </cols>
  <sheetData>
    <row r="1" spans="1:15" ht="84.75" customHeight="1" x14ac:dyDescent="0.35">
      <c r="A1" s="89" t="s">
        <v>17</v>
      </c>
      <c r="B1" s="89"/>
      <c r="C1" s="89"/>
      <c r="D1" s="89"/>
      <c r="E1" s="89"/>
      <c r="F1" s="89"/>
      <c r="G1" s="89"/>
      <c r="H1" s="89"/>
      <c r="I1" s="89"/>
    </row>
    <row r="3" spans="1:15" x14ac:dyDescent="0.25">
      <c r="A3" s="88" t="s">
        <v>18</v>
      </c>
      <c r="B3" s="88"/>
      <c r="C3" s="88"/>
      <c r="D3" s="88"/>
      <c r="E3" s="7" t="s">
        <v>35</v>
      </c>
      <c r="F3" s="6"/>
      <c r="G3" s="1"/>
      <c r="H3" s="1"/>
    </row>
    <row r="4" spans="1:15" x14ac:dyDescent="0.25">
      <c r="A4" s="88" t="s">
        <v>19</v>
      </c>
      <c r="B4" s="88"/>
      <c r="C4" s="88"/>
      <c r="D4" s="88"/>
      <c r="E4" s="7" t="s">
        <v>36</v>
      </c>
      <c r="G4" s="1"/>
      <c r="H4" s="1"/>
    </row>
    <row r="5" spans="1:15" x14ac:dyDescent="0.25">
      <c r="A5" s="8" t="s">
        <v>20</v>
      </c>
      <c r="B5" s="8"/>
      <c r="C5" s="8"/>
      <c r="D5" s="8"/>
      <c r="E5" s="7" t="s">
        <v>26</v>
      </c>
      <c r="G5" s="1"/>
      <c r="H5" s="1"/>
    </row>
    <row r="6" spans="1:15" x14ac:dyDescent="0.25">
      <c r="A6" s="88" t="s">
        <v>21</v>
      </c>
      <c r="B6" s="88"/>
      <c r="C6" s="88"/>
      <c r="D6" s="88"/>
      <c r="E6" s="7" t="s">
        <v>82</v>
      </c>
      <c r="G6" s="1"/>
      <c r="H6" s="1"/>
    </row>
    <row r="7" spans="1:15" x14ac:dyDescent="0.25">
      <c r="A7" s="87" t="s">
        <v>22</v>
      </c>
      <c r="B7" s="87"/>
      <c r="C7" s="87"/>
      <c r="D7" s="87"/>
      <c r="E7" s="87"/>
      <c r="F7" s="87"/>
      <c r="G7" s="87"/>
      <c r="H7" s="87"/>
      <c r="I7" s="87"/>
      <c r="J7" s="87"/>
      <c r="K7" s="87"/>
    </row>
    <row r="8" spans="1:15" ht="19.5" customHeight="1" x14ac:dyDescent="0.25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</row>
    <row r="9" spans="1:15" ht="20.25" customHeight="1" x14ac:dyDescent="0.25"/>
    <row r="10" spans="1:15" ht="18" customHeight="1" x14ac:dyDescent="0.25">
      <c r="A10" s="10" t="s">
        <v>9</v>
      </c>
      <c r="B10" s="10" t="s">
        <v>27</v>
      </c>
      <c r="C10" s="10" t="s">
        <v>11</v>
      </c>
      <c r="D10" s="10" t="s">
        <v>12</v>
      </c>
      <c r="E10" s="10" t="s">
        <v>13</v>
      </c>
      <c r="F10" s="10" t="s">
        <v>3</v>
      </c>
      <c r="G10" s="10" t="s">
        <v>4</v>
      </c>
      <c r="H10" s="10" t="s">
        <v>14</v>
      </c>
      <c r="I10" s="10" t="s">
        <v>15</v>
      </c>
      <c r="J10" s="11" t="s">
        <v>10</v>
      </c>
      <c r="K10" s="11" t="s">
        <v>31</v>
      </c>
      <c r="L10" s="12" t="s">
        <v>29</v>
      </c>
      <c r="M10" s="12" t="s">
        <v>30</v>
      </c>
      <c r="N10" s="42" t="s">
        <v>44</v>
      </c>
      <c r="O10" s="42" t="s">
        <v>45</v>
      </c>
    </row>
    <row r="11" spans="1:15" x14ac:dyDescent="0.25">
      <c r="A11" s="13">
        <v>46084</v>
      </c>
      <c r="B11" s="22"/>
      <c r="C11" s="14">
        <v>0.33333333333333331</v>
      </c>
      <c r="D11" s="14">
        <v>0.6875</v>
      </c>
      <c r="E11" s="14">
        <v>0.60416666666666663</v>
      </c>
      <c r="F11" s="15">
        <v>0.625</v>
      </c>
      <c r="G11" s="16"/>
      <c r="H11" s="17"/>
      <c r="I11" s="18">
        <v>8</v>
      </c>
      <c r="J11" s="19" t="s">
        <v>33</v>
      </c>
      <c r="K11" s="20"/>
      <c r="L11" s="41" t="s">
        <v>34</v>
      </c>
      <c r="M11" s="41" t="s">
        <v>37</v>
      </c>
      <c r="N11" s="23"/>
      <c r="O11" s="23"/>
    </row>
    <row r="12" spans="1:15" x14ac:dyDescent="0.25">
      <c r="A12" s="13">
        <v>46085</v>
      </c>
      <c r="B12" s="22"/>
      <c r="C12" s="14">
        <v>0.33333333333333331</v>
      </c>
      <c r="D12" s="14">
        <v>0.6875</v>
      </c>
      <c r="E12" s="14">
        <v>0.61111111111111105</v>
      </c>
      <c r="F12" s="15">
        <v>0.63194444444444442</v>
      </c>
      <c r="G12" s="16"/>
      <c r="H12" s="17"/>
      <c r="I12" s="18">
        <v>8</v>
      </c>
      <c r="J12" s="19" t="s">
        <v>43</v>
      </c>
      <c r="K12" s="20"/>
      <c r="L12" s="41" t="s">
        <v>38</v>
      </c>
      <c r="M12" s="41" t="s">
        <v>39</v>
      </c>
      <c r="N12" s="43" t="s">
        <v>40</v>
      </c>
      <c r="O12" s="43" t="s">
        <v>42</v>
      </c>
    </row>
    <row r="13" spans="1:15" x14ac:dyDescent="0.25">
      <c r="A13" s="13">
        <v>46086</v>
      </c>
      <c r="B13" s="22"/>
      <c r="C13" s="14">
        <v>0.33333333333333331</v>
      </c>
      <c r="D13" s="14">
        <v>0.6875</v>
      </c>
      <c r="E13" s="14">
        <v>0.61458333333333337</v>
      </c>
      <c r="F13" s="15">
        <v>0.63541666666666663</v>
      </c>
      <c r="G13" s="16"/>
      <c r="H13" s="17"/>
      <c r="I13" s="18">
        <v>8</v>
      </c>
      <c r="J13" s="19" t="s">
        <v>46</v>
      </c>
      <c r="K13" s="20"/>
      <c r="L13" s="41"/>
      <c r="M13" s="41" t="s">
        <v>41</v>
      </c>
      <c r="N13" s="43"/>
      <c r="O13" s="23"/>
    </row>
    <row r="14" spans="1:15" x14ac:dyDescent="0.25">
      <c r="A14" s="13">
        <v>46087</v>
      </c>
      <c r="B14" s="22"/>
      <c r="C14" s="14">
        <v>0.33333333333333331</v>
      </c>
      <c r="D14" s="14">
        <v>0.6875</v>
      </c>
      <c r="E14" s="14">
        <v>0.60416666666666663</v>
      </c>
      <c r="F14" s="15">
        <v>0.625</v>
      </c>
      <c r="G14" s="16"/>
      <c r="H14" s="17"/>
      <c r="I14" s="18">
        <v>8</v>
      </c>
      <c r="J14" s="19" t="s">
        <v>47</v>
      </c>
      <c r="K14" s="20"/>
      <c r="L14" s="21"/>
      <c r="M14" s="21"/>
      <c r="N14" s="23"/>
      <c r="O14" s="23"/>
    </row>
    <row r="15" spans="1:15" x14ac:dyDescent="0.25">
      <c r="A15" s="13"/>
      <c r="B15" s="22"/>
      <c r="C15" s="14"/>
      <c r="D15" s="14"/>
      <c r="E15" s="14"/>
      <c r="F15" s="15"/>
      <c r="G15" s="16"/>
      <c r="H15" s="17"/>
      <c r="I15" s="18"/>
      <c r="J15" s="19"/>
      <c r="K15" s="20"/>
      <c r="L15" s="21"/>
      <c r="M15" s="21"/>
      <c r="N15" s="23"/>
      <c r="O15" s="23"/>
    </row>
    <row r="16" spans="1:15" x14ac:dyDescent="0.25">
      <c r="A16" s="13">
        <v>46090</v>
      </c>
      <c r="B16" s="22"/>
      <c r="C16" s="14">
        <v>0.44791666666666669</v>
      </c>
      <c r="D16" s="14">
        <v>0.69791666666666663</v>
      </c>
      <c r="E16" s="14"/>
      <c r="F16" s="15"/>
      <c r="G16" s="16"/>
      <c r="H16" s="17"/>
      <c r="I16" s="18">
        <v>6</v>
      </c>
      <c r="J16" s="19" t="s">
        <v>48</v>
      </c>
      <c r="K16" s="20"/>
      <c r="L16" s="21"/>
      <c r="M16" s="21"/>
      <c r="N16" s="23"/>
      <c r="O16" s="23"/>
    </row>
    <row r="17" spans="1:15" x14ac:dyDescent="0.25">
      <c r="A17" s="13">
        <v>46091</v>
      </c>
      <c r="B17" s="22"/>
      <c r="C17" s="14">
        <v>0.40625</v>
      </c>
      <c r="D17" s="14">
        <v>0.69791666666666663</v>
      </c>
      <c r="E17" s="14">
        <v>0.58333333333333337</v>
      </c>
      <c r="F17" s="15">
        <v>0.60416666666666663</v>
      </c>
      <c r="G17" s="16"/>
      <c r="H17" s="17"/>
      <c r="I17" s="44">
        <v>6.5</v>
      </c>
      <c r="J17" s="19" t="s">
        <v>49</v>
      </c>
      <c r="K17" s="20"/>
      <c r="L17" s="21"/>
      <c r="M17" s="21"/>
      <c r="N17" s="23"/>
      <c r="O17" s="23"/>
    </row>
    <row r="18" spans="1:15" x14ac:dyDescent="0.25">
      <c r="A18" s="24">
        <v>46092</v>
      </c>
      <c r="B18" s="22"/>
      <c r="C18" s="14">
        <v>0.40625</v>
      </c>
      <c r="D18" s="14">
        <v>0.69791666666666663</v>
      </c>
      <c r="E18" s="14">
        <v>0.60416666666666663</v>
      </c>
      <c r="F18" s="15">
        <v>0.625</v>
      </c>
      <c r="G18" s="16"/>
      <c r="H18" s="17"/>
      <c r="I18" s="44">
        <v>6.5</v>
      </c>
      <c r="J18" s="19" t="s">
        <v>50</v>
      </c>
      <c r="K18" s="20"/>
      <c r="L18" s="21"/>
      <c r="M18" s="21"/>
      <c r="N18" s="23"/>
      <c r="O18" s="23"/>
    </row>
    <row r="19" spans="1:15" x14ac:dyDescent="0.25">
      <c r="A19" s="24">
        <v>46093</v>
      </c>
      <c r="B19" s="22"/>
      <c r="C19" s="14">
        <v>0.47916666666666669</v>
      </c>
      <c r="D19" s="14">
        <v>0.6875</v>
      </c>
      <c r="E19" s="14"/>
      <c r="F19" s="15"/>
      <c r="G19" s="16"/>
      <c r="H19" s="17"/>
      <c r="I19" s="18">
        <v>5</v>
      </c>
      <c r="J19" s="19" t="s">
        <v>51</v>
      </c>
      <c r="K19" s="20"/>
      <c r="L19" s="21"/>
      <c r="M19" s="21"/>
      <c r="N19" s="23"/>
      <c r="O19" s="23"/>
    </row>
    <row r="20" spans="1:15" x14ac:dyDescent="0.25">
      <c r="A20" s="13">
        <v>46094</v>
      </c>
      <c r="B20" s="22"/>
      <c r="C20" s="14">
        <v>0.46875</v>
      </c>
      <c r="D20" s="14">
        <v>0.69791666666666663</v>
      </c>
      <c r="E20" s="14"/>
      <c r="F20" s="15"/>
      <c r="G20" s="16"/>
      <c r="H20" s="17"/>
      <c r="I20" s="44">
        <v>5.5</v>
      </c>
      <c r="J20" s="19" t="s">
        <v>52</v>
      </c>
      <c r="K20" s="20"/>
      <c r="L20" s="21"/>
      <c r="M20" s="21"/>
      <c r="N20" s="23"/>
      <c r="O20" s="23"/>
    </row>
    <row r="21" spans="1:15" x14ac:dyDescent="0.25">
      <c r="A21" s="13"/>
      <c r="B21" s="22"/>
      <c r="C21" s="14"/>
      <c r="D21" s="14"/>
      <c r="E21" s="14"/>
      <c r="F21" s="15"/>
      <c r="G21" s="16"/>
      <c r="H21" s="17"/>
      <c r="I21" s="18"/>
      <c r="J21" s="19"/>
      <c r="K21" s="20"/>
      <c r="L21" s="21"/>
      <c r="M21" s="21"/>
      <c r="N21" s="23"/>
      <c r="O21" s="23"/>
    </row>
    <row r="22" spans="1:15" x14ac:dyDescent="0.25">
      <c r="A22" s="13">
        <v>46097</v>
      </c>
      <c r="B22" s="22"/>
      <c r="C22" s="14">
        <v>0.33333333333333331</v>
      </c>
      <c r="D22" s="14">
        <v>0.6875</v>
      </c>
      <c r="E22" s="14">
        <v>0.54166666666666663</v>
      </c>
      <c r="F22" s="15">
        <v>0.5625</v>
      </c>
      <c r="G22" s="16"/>
      <c r="H22" s="17"/>
      <c r="I22" s="18">
        <v>8</v>
      </c>
      <c r="J22" s="20" t="s">
        <v>53</v>
      </c>
      <c r="K22" s="20"/>
      <c r="L22" s="21"/>
      <c r="M22" s="21"/>
      <c r="N22" s="23"/>
      <c r="O22" s="23"/>
    </row>
    <row r="23" spans="1:15" x14ac:dyDescent="0.25">
      <c r="A23" s="13">
        <v>46098</v>
      </c>
      <c r="B23" s="22"/>
      <c r="C23" s="14">
        <v>0.41666666666666669</v>
      </c>
      <c r="D23" s="14">
        <v>0.66666666666666663</v>
      </c>
      <c r="E23" s="14"/>
      <c r="F23" s="15"/>
      <c r="G23" s="14"/>
      <c r="H23" s="17"/>
      <c r="I23" s="18">
        <v>6</v>
      </c>
      <c r="J23" s="19" t="s">
        <v>54</v>
      </c>
      <c r="K23" s="20"/>
      <c r="L23" s="21"/>
      <c r="M23" s="21"/>
      <c r="N23" s="23"/>
      <c r="O23" s="23"/>
    </row>
    <row r="24" spans="1:15" x14ac:dyDescent="0.25">
      <c r="A24" s="13">
        <v>46099</v>
      </c>
      <c r="B24" s="22"/>
      <c r="C24" s="14">
        <v>0.35416666666666669</v>
      </c>
      <c r="D24" s="14">
        <v>0.6875</v>
      </c>
      <c r="E24" s="14">
        <v>0.58333333333333337</v>
      </c>
      <c r="F24" s="15">
        <v>0.60416666666666663</v>
      </c>
      <c r="G24" s="14"/>
      <c r="H24" s="17"/>
      <c r="I24" s="18">
        <v>7.5</v>
      </c>
      <c r="J24" s="19" t="s">
        <v>55</v>
      </c>
      <c r="K24" s="20"/>
      <c r="L24" s="21"/>
      <c r="M24" s="21"/>
      <c r="N24" s="23"/>
      <c r="O24" s="23"/>
    </row>
    <row r="25" spans="1:15" x14ac:dyDescent="0.25">
      <c r="A25" s="13">
        <v>46100</v>
      </c>
      <c r="B25" s="22"/>
      <c r="C25" s="14">
        <v>0.33333333333333331</v>
      </c>
      <c r="D25" s="14">
        <v>0.6875</v>
      </c>
      <c r="E25" s="14">
        <v>0.54166666666666663</v>
      </c>
      <c r="F25" s="15" t="s">
        <v>56</v>
      </c>
      <c r="G25" s="16"/>
      <c r="H25" s="17"/>
      <c r="I25" s="18">
        <v>8</v>
      </c>
      <c r="J25" s="19" t="s">
        <v>57</v>
      </c>
      <c r="K25" s="20"/>
      <c r="L25" s="21"/>
      <c r="M25" s="23"/>
      <c r="N25" s="23"/>
      <c r="O25" s="23"/>
    </row>
    <row r="26" spans="1:15" x14ac:dyDescent="0.25">
      <c r="A26" s="13">
        <v>46101</v>
      </c>
      <c r="B26" s="22"/>
      <c r="C26" s="14">
        <v>0.33333333333333331</v>
      </c>
      <c r="D26" s="14">
        <v>0.6875</v>
      </c>
      <c r="E26" s="14">
        <v>0.5625</v>
      </c>
      <c r="F26" s="15">
        <v>0.58333333333333337</v>
      </c>
      <c r="G26" s="16"/>
      <c r="H26" s="17"/>
      <c r="I26" s="18">
        <v>8</v>
      </c>
      <c r="J26" s="19" t="s">
        <v>58</v>
      </c>
      <c r="K26" s="20"/>
      <c r="L26" s="21"/>
      <c r="M26" s="21"/>
      <c r="N26" s="23"/>
      <c r="O26" s="23"/>
    </row>
    <row r="27" spans="1:15" x14ac:dyDescent="0.25">
      <c r="A27" s="13"/>
      <c r="B27" s="22"/>
      <c r="C27" s="14"/>
      <c r="D27" s="14"/>
      <c r="E27" s="14"/>
      <c r="F27" s="15"/>
      <c r="G27" s="16"/>
      <c r="H27" s="17"/>
      <c r="I27" s="18"/>
      <c r="J27" s="19"/>
      <c r="K27" s="20"/>
      <c r="L27" s="21"/>
      <c r="M27" s="21"/>
      <c r="N27" s="21"/>
      <c r="O27" s="23"/>
    </row>
    <row r="28" spans="1:15" x14ac:dyDescent="0.25">
      <c r="A28" s="13">
        <v>46104</v>
      </c>
      <c r="B28" s="22"/>
      <c r="C28" s="14">
        <v>0.33333333333333331</v>
      </c>
      <c r="D28" s="14">
        <v>0.72916666666666663</v>
      </c>
      <c r="E28" s="14">
        <v>0.60416666666666663</v>
      </c>
      <c r="F28" s="15">
        <v>0.625</v>
      </c>
      <c r="G28" s="16"/>
      <c r="H28" s="17"/>
      <c r="I28" s="18">
        <v>9</v>
      </c>
      <c r="J28" s="19" t="s">
        <v>59</v>
      </c>
      <c r="K28" s="20"/>
      <c r="L28" s="21"/>
      <c r="M28" s="21"/>
      <c r="N28" s="23"/>
      <c r="O28" s="23"/>
    </row>
    <row r="29" spans="1:15" x14ac:dyDescent="0.25">
      <c r="A29" s="24" t="s">
        <v>60</v>
      </c>
      <c r="B29" s="32"/>
      <c r="C29" s="14">
        <v>0.33333333333333331</v>
      </c>
      <c r="D29" s="14">
        <v>0.6875</v>
      </c>
      <c r="E29" s="14">
        <v>0.60416666666666663</v>
      </c>
      <c r="F29" s="15">
        <v>0.625</v>
      </c>
      <c r="G29" s="16"/>
      <c r="H29" s="17"/>
      <c r="I29" s="18">
        <v>8</v>
      </c>
      <c r="J29" s="19" t="s">
        <v>61</v>
      </c>
      <c r="K29" s="20"/>
      <c r="L29" s="21"/>
      <c r="M29" s="21"/>
      <c r="N29" s="23"/>
      <c r="O29" s="23"/>
    </row>
    <row r="30" spans="1:15" x14ac:dyDescent="0.25">
      <c r="A30" s="13">
        <v>46106</v>
      </c>
      <c r="B30" s="22"/>
      <c r="C30" s="14">
        <v>0.33333333333333331</v>
      </c>
      <c r="D30" s="14">
        <v>0.6875</v>
      </c>
      <c r="E30" s="14">
        <v>0.625</v>
      </c>
      <c r="F30" s="15">
        <v>0.64583333333333337</v>
      </c>
      <c r="G30" s="16"/>
      <c r="H30" s="17"/>
      <c r="I30" s="18">
        <v>8</v>
      </c>
      <c r="J30" s="19" t="s">
        <v>62</v>
      </c>
      <c r="K30" s="20"/>
      <c r="L30" s="21"/>
      <c r="M30" s="21"/>
      <c r="N30" s="23"/>
      <c r="O30" s="23"/>
    </row>
    <row r="31" spans="1:15" x14ac:dyDescent="0.25">
      <c r="A31" s="13">
        <v>46107</v>
      </c>
      <c r="B31" s="22"/>
      <c r="C31" s="14">
        <v>0.33333333333333331</v>
      </c>
      <c r="D31" s="14">
        <v>0.6875</v>
      </c>
      <c r="E31" s="14">
        <v>0.58333333333333337</v>
      </c>
      <c r="F31" s="15">
        <v>0.60416666666666663</v>
      </c>
      <c r="G31" s="16"/>
      <c r="H31" s="17"/>
      <c r="I31" s="18">
        <v>8</v>
      </c>
      <c r="J31" s="19" t="s">
        <v>63</v>
      </c>
      <c r="K31" s="20"/>
      <c r="L31" s="21"/>
      <c r="M31" s="21"/>
      <c r="N31" s="23"/>
      <c r="O31" s="23"/>
    </row>
    <row r="32" spans="1:15" x14ac:dyDescent="0.25">
      <c r="A32" s="13">
        <v>46108</v>
      </c>
      <c r="B32" s="22"/>
      <c r="C32" s="14">
        <v>0.33333333333333331</v>
      </c>
      <c r="D32" s="14">
        <v>0.72916666666666663</v>
      </c>
      <c r="E32" s="14">
        <v>0.60416666666666663</v>
      </c>
      <c r="F32" s="15">
        <v>0.625</v>
      </c>
      <c r="G32" s="16"/>
      <c r="H32" s="17"/>
      <c r="I32" s="18">
        <v>9</v>
      </c>
      <c r="J32" s="19" t="s">
        <v>64</v>
      </c>
      <c r="K32" s="20"/>
      <c r="L32" s="21"/>
      <c r="M32" s="21"/>
      <c r="N32" s="23"/>
      <c r="O32" s="23"/>
    </row>
    <row r="33" spans="1:15" x14ac:dyDescent="0.25">
      <c r="A33" s="13"/>
      <c r="B33" s="22"/>
      <c r="C33" s="14"/>
      <c r="D33" s="14"/>
      <c r="E33" s="14"/>
      <c r="F33" s="15"/>
      <c r="G33" s="16"/>
      <c r="H33" s="17"/>
      <c r="I33" s="18"/>
      <c r="J33" s="19"/>
      <c r="K33" s="20"/>
      <c r="L33" s="21"/>
      <c r="M33" s="21"/>
      <c r="N33" s="23"/>
      <c r="O33" s="23"/>
    </row>
    <row r="34" spans="1:15" x14ac:dyDescent="0.25">
      <c r="A34" s="13">
        <v>46111</v>
      </c>
      <c r="B34" s="22"/>
      <c r="C34" s="14">
        <v>0.33333333333333331</v>
      </c>
      <c r="D34" s="14">
        <v>0.6875</v>
      </c>
      <c r="E34" s="14">
        <v>0.58333333333333337</v>
      </c>
      <c r="F34" s="15">
        <v>0.60416666666666663</v>
      </c>
      <c r="G34" s="16"/>
      <c r="H34" s="17"/>
      <c r="I34" s="18">
        <v>8</v>
      </c>
      <c r="J34" s="19" t="s">
        <v>65</v>
      </c>
      <c r="K34" s="20"/>
      <c r="L34" s="21"/>
      <c r="M34" s="21"/>
      <c r="N34" s="23"/>
      <c r="O34" s="23"/>
    </row>
    <row r="35" spans="1:15" x14ac:dyDescent="0.25">
      <c r="A35" s="13">
        <v>46112</v>
      </c>
      <c r="B35" s="22"/>
      <c r="C35" s="14">
        <v>0.33333333333333331</v>
      </c>
      <c r="D35" s="14">
        <v>0.72916666666666663</v>
      </c>
      <c r="E35" s="14">
        <v>0.63541666666666663</v>
      </c>
      <c r="F35" s="15">
        <v>0.65625</v>
      </c>
      <c r="G35" s="16"/>
      <c r="H35" s="17"/>
      <c r="I35" s="18">
        <v>9</v>
      </c>
      <c r="J35" s="19" t="s">
        <v>66</v>
      </c>
      <c r="K35" s="20"/>
      <c r="L35" s="21"/>
      <c r="M35" s="21"/>
      <c r="N35" s="23"/>
      <c r="O35" s="23"/>
    </row>
    <row r="36" spans="1:15" x14ac:dyDescent="0.25">
      <c r="A36" s="13">
        <v>46113</v>
      </c>
      <c r="B36" s="22"/>
      <c r="C36" s="14">
        <v>0.33333333333333331</v>
      </c>
      <c r="D36" s="14">
        <v>0.72916666666666663</v>
      </c>
      <c r="E36" s="14">
        <v>0.60416666666666663</v>
      </c>
      <c r="F36" s="15">
        <v>0.625</v>
      </c>
      <c r="G36" s="16"/>
      <c r="H36" s="17"/>
      <c r="I36" s="18">
        <v>9</v>
      </c>
      <c r="J36" s="19" t="s">
        <v>66</v>
      </c>
      <c r="K36" s="20"/>
      <c r="L36" s="21"/>
      <c r="M36" s="21"/>
      <c r="N36" s="23"/>
      <c r="O36" s="23"/>
    </row>
    <row r="37" spans="1:15" x14ac:dyDescent="0.25">
      <c r="A37" s="13">
        <v>46114</v>
      </c>
      <c r="B37" s="22"/>
      <c r="C37" s="14">
        <v>0.33333333333333331</v>
      </c>
      <c r="D37" s="14">
        <v>0.72916666666666663</v>
      </c>
      <c r="E37" s="14">
        <v>0.5625</v>
      </c>
      <c r="F37" s="15">
        <v>0.58333333333333337</v>
      </c>
      <c r="G37" s="16"/>
      <c r="H37" s="17"/>
      <c r="I37" s="18">
        <v>9</v>
      </c>
      <c r="J37" s="19" t="s">
        <v>66</v>
      </c>
      <c r="K37" s="20"/>
      <c r="L37" s="21"/>
      <c r="M37" s="21"/>
      <c r="N37" s="23"/>
      <c r="O37" s="23"/>
    </row>
    <row r="38" spans="1:15" x14ac:dyDescent="0.25">
      <c r="A38" s="13">
        <v>46115</v>
      </c>
      <c r="B38" s="22"/>
      <c r="C38" s="14"/>
      <c r="D38" s="14"/>
      <c r="E38" s="14"/>
      <c r="F38" s="15"/>
      <c r="G38" s="16"/>
      <c r="H38" s="17"/>
      <c r="I38" s="18"/>
      <c r="J38" s="19" t="s">
        <v>67</v>
      </c>
      <c r="K38" s="20"/>
      <c r="L38" s="21"/>
      <c r="M38" s="21"/>
      <c r="N38" s="23"/>
      <c r="O38" s="23"/>
    </row>
    <row r="39" spans="1:15" x14ac:dyDescent="0.25">
      <c r="A39" s="13"/>
      <c r="B39" s="22"/>
      <c r="C39" s="14"/>
      <c r="D39" s="14"/>
      <c r="E39" s="14"/>
      <c r="F39" s="15"/>
      <c r="G39" s="16"/>
      <c r="H39" s="17"/>
      <c r="I39" s="18"/>
      <c r="J39" s="19"/>
      <c r="K39" s="20"/>
      <c r="L39" s="21"/>
      <c r="M39" s="21"/>
      <c r="N39" s="23"/>
      <c r="O39" s="23"/>
    </row>
    <row r="40" spans="1:15" x14ac:dyDescent="0.25">
      <c r="A40" s="13">
        <v>46118</v>
      </c>
      <c r="B40" s="22"/>
      <c r="C40" s="14"/>
      <c r="D40" s="14"/>
      <c r="E40" s="14"/>
      <c r="F40" s="15"/>
      <c r="G40" s="16"/>
      <c r="H40" s="17"/>
      <c r="I40" s="18"/>
      <c r="J40" s="19" t="s">
        <v>67</v>
      </c>
      <c r="K40" s="20"/>
      <c r="L40" s="21"/>
      <c r="M40" s="21"/>
      <c r="N40" s="23"/>
      <c r="O40" s="23"/>
    </row>
    <row r="41" spans="1:15" x14ac:dyDescent="0.25">
      <c r="A41" s="13">
        <v>46119</v>
      </c>
      <c r="B41" s="22"/>
      <c r="C41" s="14">
        <v>0.33333333333333331</v>
      </c>
      <c r="D41" s="14">
        <v>0.6875</v>
      </c>
      <c r="E41" s="14">
        <v>0.54166666666666663</v>
      </c>
      <c r="F41" s="15">
        <v>0.5625</v>
      </c>
      <c r="G41" s="16"/>
      <c r="H41" s="17"/>
      <c r="I41" s="18">
        <v>8</v>
      </c>
      <c r="J41" s="19" t="s">
        <v>68</v>
      </c>
      <c r="K41" s="20"/>
      <c r="L41" s="21" t="s">
        <v>74</v>
      </c>
      <c r="M41" s="21"/>
      <c r="N41" s="23"/>
      <c r="O41" s="23"/>
    </row>
    <row r="42" spans="1:15" x14ac:dyDescent="0.25">
      <c r="A42" s="13">
        <v>46120</v>
      </c>
      <c r="B42" s="22"/>
      <c r="C42" s="14">
        <v>0.375</v>
      </c>
      <c r="D42" s="14">
        <v>0.72916666666666663</v>
      </c>
      <c r="E42" s="14">
        <v>0.60416666666666663</v>
      </c>
      <c r="F42" s="15">
        <v>0.625</v>
      </c>
      <c r="G42" s="16"/>
      <c r="H42" s="17"/>
      <c r="I42" s="18">
        <v>8</v>
      </c>
      <c r="J42" s="19" t="s">
        <v>69</v>
      </c>
      <c r="K42" s="20"/>
      <c r="L42" s="21"/>
      <c r="M42" s="21"/>
      <c r="N42" s="23"/>
      <c r="O42" s="23"/>
    </row>
    <row r="43" spans="1:15" x14ac:dyDescent="0.25">
      <c r="A43" s="13">
        <v>46121</v>
      </c>
      <c r="B43" s="22"/>
      <c r="C43" s="14">
        <v>0.33333333333333331</v>
      </c>
      <c r="D43" s="14">
        <v>0.72916666666666663</v>
      </c>
      <c r="E43" s="14">
        <v>0.5625</v>
      </c>
      <c r="F43" s="15">
        <v>0.58333333333333337</v>
      </c>
      <c r="G43" s="16"/>
      <c r="H43" s="17"/>
      <c r="I43" s="18">
        <v>9</v>
      </c>
      <c r="J43" s="19" t="s">
        <v>70</v>
      </c>
      <c r="K43" s="20"/>
      <c r="L43" s="21"/>
      <c r="M43" s="21"/>
      <c r="N43" s="23"/>
      <c r="O43" s="23"/>
    </row>
    <row r="44" spans="1:15" x14ac:dyDescent="0.25">
      <c r="A44" s="13">
        <v>46122</v>
      </c>
      <c r="B44" s="22"/>
      <c r="C44" s="14">
        <v>0.33333333333333331</v>
      </c>
      <c r="D44" s="14">
        <v>0.6875</v>
      </c>
      <c r="E44" s="14">
        <v>0.54166666666666663</v>
      </c>
      <c r="F44" s="15">
        <v>0.58333333333333337</v>
      </c>
      <c r="G44" s="16"/>
      <c r="H44" s="17"/>
      <c r="I44" s="18">
        <v>8</v>
      </c>
      <c r="J44" s="19" t="s">
        <v>71</v>
      </c>
      <c r="K44" s="20"/>
      <c r="L44" s="21"/>
      <c r="M44" s="21"/>
      <c r="N44" s="23"/>
      <c r="O44" s="23"/>
    </row>
    <row r="45" spans="1:15" x14ac:dyDescent="0.25">
      <c r="A45" s="13"/>
      <c r="B45" s="22"/>
      <c r="C45" s="14"/>
      <c r="D45" s="14"/>
      <c r="E45" s="14"/>
      <c r="F45" s="15"/>
      <c r="G45" s="16"/>
      <c r="H45" s="17"/>
      <c r="I45" s="18"/>
      <c r="J45" s="19"/>
      <c r="K45" s="20"/>
      <c r="L45" s="21"/>
      <c r="M45" s="21"/>
      <c r="N45" s="23"/>
      <c r="O45" s="23"/>
    </row>
    <row r="46" spans="1:15" x14ac:dyDescent="0.25">
      <c r="A46" s="13">
        <v>46125</v>
      </c>
      <c r="B46" s="22"/>
      <c r="C46" s="14">
        <v>0.5625</v>
      </c>
      <c r="D46" s="14">
        <v>0.77083333333333337</v>
      </c>
      <c r="E46" s="14"/>
      <c r="F46" s="15"/>
      <c r="G46" s="16"/>
      <c r="H46" s="17"/>
      <c r="I46" s="18">
        <v>5</v>
      </c>
      <c r="J46" s="19" t="s">
        <v>72</v>
      </c>
      <c r="K46" s="20"/>
      <c r="L46" s="21"/>
      <c r="M46" s="21"/>
      <c r="N46" s="23"/>
      <c r="O46" s="23"/>
    </row>
    <row r="47" spans="1:15" x14ac:dyDescent="0.25">
      <c r="A47" s="13">
        <v>46126</v>
      </c>
      <c r="B47" s="22"/>
      <c r="C47" s="14">
        <v>0.33333333333333331</v>
      </c>
      <c r="D47" s="14">
        <v>0.72916666666666663</v>
      </c>
      <c r="E47" s="14">
        <v>0.625</v>
      </c>
      <c r="F47" s="15">
        <v>0.64583333333333337</v>
      </c>
      <c r="G47" s="16"/>
      <c r="H47" s="17"/>
      <c r="I47" s="18">
        <v>9</v>
      </c>
      <c r="J47" s="19" t="s">
        <v>73</v>
      </c>
      <c r="K47" s="20"/>
      <c r="L47" s="21"/>
      <c r="M47" s="21"/>
      <c r="N47" s="23"/>
      <c r="O47" s="23"/>
    </row>
    <row r="48" spans="1:15" x14ac:dyDescent="0.25">
      <c r="A48" s="13">
        <v>46127</v>
      </c>
      <c r="B48" s="22"/>
      <c r="C48" s="14">
        <v>0.33333333333333331</v>
      </c>
      <c r="D48" s="14">
        <v>0.72916666666666663</v>
      </c>
      <c r="E48" s="14">
        <v>0.60416666666666663</v>
      </c>
      <c r="F48" s="15">
        <v>0.625</v>
      </c>
      <c r="G48" s="16"/>
      <c r="H48" s="17"/>
      <c r="I48" s="18">
        <v>9</v>
      </c>
      <c r="J48" s="19" t="s">
        <v>76</v>
      </c>
      <c r="K48" s="20"/>
      <c r="L48" s="21" t="s">
        <v>75</v>
      </c>
      <c r="M48" s="21"/>
      <c r="N48" s="23"/>
      <c r="O48" s="23"/>
    </row>
    <row r="49" spans="1:15" x14ac:dyDescent="0.25">
      <c r="A49" s="13">
        <v>46128</v>
      </c>
      <c r="B49" s="22"/>
      <c r="C49" s="14">
        <v>0.4375</v>
      </c>
      <c r="D49" s="14">
        <v>0.6875</v>
      </c>
      <c r="E49" s="14"/>
      <c r="F49" s="15"/>
      <c r="G49" s="16"/>
      <c r="H49" s="17"/>
      <c r="I49" s="18">
        <v>6</v>
      </c>
      <c r="J49" s="19" t="s">
        <v>77</v>
      </c>
      <c r="K49" s="20"/>
      <c r="L49" s="21"/>
      <c r="M49" s="21"/>
      <c r="N49" s="23"/>
      <c r="O49" s="23"/>
    </row>
    <row r="50" spans="1:15" x14ac:dyDescent="0.25">
      <c r="A50" s="13">
        <v>46129</v>
      </c>
      <c r="B50" s="22"/>
      <c r="C50" s="14">
        <v>0.33333333333333331</v>
      </c>
      <c r="D50" s="14">
        <v>0.6875</v>
      </c>
      <c r="E50" s="14">
        <v>0.60416666666666663</v>
      </c>
      <c r="F50" s="15">
        <v>0.625</v>
      </c>
      <c r="G50" s="16"/>
      <c r="H50" s="17"/>
      <c r="I50" s="18">
        <v>8</v>
      </c>
      <c r="J50" s="19" t="s">
        <v>78</v>
      </c>
      <c r="K50" s="20"/>
      <c r="L50" s="21"/>
      <c r="M50" s="21"/>
      <c r="N50" s="23"/>
      <c r="O50" s="23"/>
    </row>
    <row r="51" spans="1:15" x14ac:dyDescent="0.25">
      <c r="A51" s="13"/>
      <c r="B51" s="22"/>
      <c r="C51" s="14"/>
      <c r="D51" s="14"/>
      <c r="E51" s="14"/>
      <c r="F51" s="15"/>
      <c r="G51" s="16"/>
      <c r="H51" s="17"/>
      <c r="I51" s="18"/>
      <c r="J51" s="19"/>
      <c r="K51" s="20"/>
      <c r="L51" s="21"/>
      <c r="M51" s="21"/>
      <c r="N51" s="23"/>
      <c r="O51" s="23"/>
    </row>
    <row r="52" spans="1:15" x14ac:dyDescent="0.25">
      <c r="A52" s="13">
        <v>46132</v>
      </c>
      <c r="B52" s="22"/>
      <c r="C52" s="14">
        <v>0.33333333333333331</v>
      </c>
      <c r="D52" s="14">
        <v>0.72916666666666663</v>
      </c>
      <c r="E52" s="14">
        <v>0.625</v>
      </c>
      <c r="F52" s="15">
        <v>0.64583333333333337</v>
      </c>
      <c r="G52" s="16"/>
      <c r="H52" s="17"/>
      <c r="I52" s="18">
        <v>9</v>
      </c>
      <c r="J52" s="19" t="s">
        <v>79</v>
      </c>
      <c r="K52" s="20"/>
      <c r="L52" s="21"/>
      <c r="M52" s="21"/>
      <c r="N52" s="23"/>
      <c r="O52" s="23"/>
    </row>
    <row r="53" spans="1:15" x14ac:dyDescent="0.25">
      <c r="A53" s="13">
        <v>46133</v>
      </c>
      <c r="B53" s="22"/>
      <c r="C53" s="14">
        <v>0.33333333333333331</v>
      </c>
      <c r="D53" s="14">
        <v>0.72916666666666663</v>
      </c>
      <c r="E53" s="14">
        <v>0.625</v>
      </c>
      <c r="F53" s="15">
        <v>0.64583333333333337</v>
      </c>
      <c r="G53" s="16"/>
      <c r="H53" s="17"/>
      <c r="I53" s="18">
        <v>9</v>
      </c>
      <c r="J53" s="19" t="s">
        <v>80</v>
      </c>
      <c r="K53" s="20"/>
      <c r="L53" s="21"/>
      <c r="M53" s="21"/>
      <c r="N53" s="23"/>
      <c r="O53" s="23"/>
    </row>
    <row r="54" spans="1:15" x14ac:dyDescent="0.25">
      <c r="A54" s="13">
        <v>46134</v>
      </c>
      <c r="B54" s="22"/>
      <c r="C54" s="14">
        <v>0.33333333333333331</v>
      </c>
      <c r="D54" s="14">
        <v>0.72916666666666663</v>
      </c>
      <c r="E54" s="14">
        <v>0.625</v>
      </c>
      <c r="F54" s="15">
        <v>0.64583333333333337</v>
      </c>
      <c r="G54" s="16"/>
      <c r="H54" s="17"/>
      <c r="I54" s="18">
        <v>9</v>
      </c>
      <c r="J54" s="19" t="s">
        <v>78</v>
      </c>
      <c r="K54" s="20"/>
      <c r="L54" s="21"/>
      <c r="M54" s="21"/>
      <c r="N54" s="23"/>
      <c r="O54" s="23"/>
    </row>
    <row r="55" spans="1:15" x14ac:dyDescent="0.25">
      <c r="A55" s="13">
        <v>46135</v>
      </c>
      <c r="B55" s="22"/>
      <c r="C55" s="14">
        <v>0.33333333333333331</v>
      </c>
      <c r="D55" s="14">
        <v>0.72916666666666663</v>
      </c>
      <c r="E55" s="14">
        <v>0.64583333333333337</v>
      </c>
      <c r="F55" s="15">
        <v>0.66666666666666663</v>
      </c>
      <c r="G55" s="16"/>
      <c r="H55" s="17"/>
      <c r="I55" s="18">
        <v>9</v>
      </c>
      <c r="J55" s="19" t="s">
        <v>81</v>
      </c>
      <c r="K55" s="20"/>
      <c r="L55" s="21"/>
      <c r="M55" s="21"/>
      <c r="N55" s="23"/>
      <c r="O55" s="23"/>
    </row>
    <row r="56" spans="1:15" x14ac:dyDescent="0.25">
      <c r="A56" s="24">
        <v>46136</v>
      </c>
      <c r="B56" s="22"/>
      <c r="C56" s="14">
        <v>0.5</v>
      </c>
      <c r="D56" s="14">
        <v>0.75</v>
      </c>
      <c r="E56" s="14"/>
      <c r="F56" s="15"/>
      <c r="G56" s="16"/>
      <c r="H56" s="17"/>
      <c r="I56" s="18">
        <v>6</v>
      </c>
      <c r="J56" s="19" t="s">
        <v>83</v>
      </c>
      <c r="K56" s="20"/>
      <c r="L56" s="21"/>
      <c r="M56" s="21"/>
      <c r="N56" s="23"/>
      <c r="O56" s="23"/>
    </row>
    <row r="57" spans="1:15" x14ac:dyDescent="0.25">
      <c r="A57" s="24"/>
      <c r="B57" s="22"/>
      <c r="C57" s="14"/>
      <c r="D57" s="14"/>
      <c r="E57" s="14"/>
      <c r="F57" s="15"/>
      <c r="G57" s="16"/>
      <c r="H57" s="17"/>
      <c r="I57" s="18"/>
      <c r="J57" s="19"/>
      <c r="K57" s="20"/>
      <c r="L57" s="21"/>
      <c r="M57" s="21"/>
      <c r="N57" s="23"/>
      <c r="O57" s="23"/>
    </row>
    <row r="58" spans="1:15" x14ac:dyDescent="0.25">
      <c r="A58" s="24">
        <v>46139</v>
      </c>
      <c r="B58" s="22"/>
      <c r="C58" s="14">
        <v>0.33333333333333331</v>
      </c>
      <c r="D58" s="14">
        <v>0.72916666666666663</v>
      </c>
      <c r="E58" s="14">
        <v>0.58333333333333337</v>
      </c>
      <c r="F58" s="15">
        <v>0.60416666666666663</v>
      </c>
      <c r="G58" s="16"/>
      <c r="H58" s="17"/>
      <c r="I58" s="18">
        <v>9</v>
      </c>
      <c r="J58" s="19" t="s">
        <v>84</v>
      </c>
      <c r="K58" s="20"/>
      <c r="L58" s="21"/>
      <c r="M58" s="21"/>
      <c r="N58" s="23"/>
      <c r="O58" s="23"/>
    </row>
    <row r="59" spans="1:15" x14ac:dyDescent="0.25">
      <c r="A59" s="24">
        <v>46140</v>
      </c>
      <c r="B59" s="22"/>
      <c r="C59" s="14">
        <v>0.33333333333333331</v>
      </c>
      <c r="D59" s="14">
        <v>0.72916666666666663</v>
      </c>
      <c r="E59" s="14">
        <v>0.60416666666666663</v>
      </c>
      <c r="F59" s="15">
        <v>0.625</v>
      </c>
      <c r="G59" s="16"/>
      <c r="H59" s="17"/>
      <c r="I59" s="18">
        <v>9</v>
      </c>
      <c r="J59" s="19" t="s">
        <v>85</v>
      </c>
      <c r="K59" s="20"/>
      <c r="L59" s="21"/>
      <c r="M59" s="21"/>
      <c r="N59" s="23"/>
      <c r="O59" s="23"/>
    </row>
    <row r="60" spans="1:15" x14ac:dyDescent="0.25">
      <c r="A60" s="24">
        <v>46141</v>
      </c>
      <c r="B60" s="22"/>
      <c r="C60" s="14">
        <v>0.33333333333333331</v>
      </c>
      <c r="D60" s="14">
        <v>0.72916666666666663</v>
      </c>
      <c r="E60" s="14">
        <v>0.58333333333333337</v>
      </c>
      <c r="F60" s="15">
        <v>0.60416666666666663</v>
      </c>
      <c r="G60" s="16"/>
      <c r="H60" s="17"/>
      <c r="I60" s="18">
        <v>9</v>
      </c>
      <c r="J60" s="19" t="s">
        <v>86</v>
      </c>
      <c r="K60" s="20"/>
      <c r="L60" s="21"/>
      <c r="M60" s="21"/>
      <c r="N60" s="23"/>
      <c r="O60" s="23"/>
    </row>
    <row r="61" spans="1:15" x14ac:dyDescent="0.25">
      <c r="A61" s="24">
        <v>46142</v>
      </c>
      <c r="B61" s="22"/>
      <c r="C61" s="14">
        <v>0.45833333333333331</v>
      </c>
      <c r="D61" s="14">
        <v>0.70833333333333337</v>
      </c>
      <c r="E61" s="14"/>
      <c r="F61" s="15"/>
      <c r="G61" s="16"/>
      <c r="H61" s="17"/>
      <c r="I61" s="18">
        <v>6</v>
      </c>
      <c r="J61" s="19" t="s">
        <v>87</v>
      </c>
      <c r="K61" s="20"/>
      <c r="L61" s="21"/>
      <c r="M61" s="21"/>
      <c r="N61" s="23"/>
      <c r="O61" s="23"/>
    </row>
    <row r="62" spans="1:15" x14ac:dyDescent="0.25">
      <c r="A62" s="45">
        <v>46143</v>
      </c>
      <c r="B62" s="22"/>
      <c r="F62" s="15"/>
      <c r="H62" s="17"/>
      <c r="I62" s="18"/>
      <c r="J62" s="4" t="s">
        <v>67</v>
      </c>
      <c r="N62" s="23"/>
      <c r="O62" s="23"/>
    </row>
    <row r="63" spans="1:15" x14ac:dyDescent="0.25">
      <c r="B63" s="22"/>
      <c r="F63" s="15"/>
      <c r="H63" s="17"/>
      <c r="I63" s="18"/>
      <c r="N63" s="23"/>
      <c r="O63" s="23"/>
    </row>
    <row r="64" spans="1:15" x14ac:dyDescent="0.25">
      <c r="A64" s="45">
        <v>46146</v>
      </c>
      <c r="B64" s="22"/>
      <c r="C64" s="26">
        <v>0.33333333333333331</v>
      </c>
      <c r="D64" s="26">
        <v>0.72916666666666663</v>
      </c>
      <c r="E64" s="26">
        <v>0.625</v>
      </c>
      <c r="F64" s="15">
        <v>0.64583333333333337</v>
      </c>
      <c r="G64" s="28"/>
      <c r="H64" s="30"/>
      <c r="I64" s="18">
        <v>9</v>
      </c>
      <c r="J64" s="46" t="s">
        <v>88</v>
      </c>
      <c r="K64" s="31"/>
      <c r="L64" s="23"/>
      <c r="M64" s="23"/>
      <c r="N64" s="23"/>
      <c r="O64" s="23"/>
    </row>
    <row r="65" spans="1:39" x14ac:dyDescent="0.25">
      <c r="A65" s="24">
        <v>46147</v>
      </c>
      <c r="B65" s="22"/>
      <c r="C65" s="14">
        <v>0.33333333333333331</v>
      </c>
      <c r="D65" s="14">
        <v>0.72916666666666663</v>
      </c>
      <c r="E65" s="14">
        <v>0.58333333333333337</v>
      </c>
      <c r="F65" s="15">
        <v>0.60416666666666663</v>
      </c>
      <c r="G65" s="16"/>
      <c r="H65" s="17"/>
      <c r="I65" s="18">
        <v>9</v>
      </c>
      <c r="J65" s="19" t="s">
        <v>89</v>
      </c>
      <c r="K65" s="20"/>
      <c r="L65" s="21"/>
      <c r="M65" s="21"/>
      <c r="N65" s="23"/>
      <c r="O65" s="23"/>
    </row>
    <row r="66" spans="1:39" x14ac:dyDescent="0.25">
      <c r="A66" s="25">
        <v>46148</v>
      </c>
      <c r="B66" s="22"/>
      <c r="C66" s="26">
        <v>0.33333333333333331</v>
      </c>
      <c r="D66" s="26">
        <v>0.70833333333333337</v>
      </c>
      <c r="E66" s="26">
        <v>0.54166666666666663</v>
      </c>
      <c r="F66" s="15">
        <v>0.5625</v>
      </c>
      <c r="G66" s="28"/>
      <c r="H66" s="30"/>
      <c r="I66" s="18">
        <v>8.5</v>
      </c>
      <c r="J66" s="31" t="s">
        <v>90</v>
      </c>
      <c r="K66" s="31"/>
      <c r="L66" s="23"/>
      <c r="M66" s="23"/>
      <c r="N66" s="23"/>
      <c r="O66" s="23"/>
    </row>
    <row r="67" spans="1:39" x14ac:dyDescent="0.25">
      <c r="A67" s="25">
        <v>46149</v>
      </c>
      <c r="C67" s="47">
        <v>0.33333333333333331</v>
      </c>
      <c r="D67" s="48">
        <v>0.72916666666666663</v>
      </c>
      <c r="E67" s="48">
        <v>0.54166666666666663</v>
      </c>
      <c r="F67" s="15">
        <v>0.5625</v>
      </c>
      <c r="H67" s="17"/>
      <c r="I67" s="18">
        <v>9</v>
      </c>
      <c r="J67" t="s">
        <v>91</v>
      </c>
      <c r="K67"/>
      <c r="L67"/>
      <c r="M67"/>
      <c r="N67" s="23"/>
      <c r="O67" s="23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 spans="1:39" x14ac:dyDescent="0.25">
      <c r="A68" s="25">
        <v>46150</v>
      </c>
      <c r="B68" s="36"/>
      <c r="C68" s="26">
        <v>0.47916666666666669</v>
      </c>
      <c r="D68" s="26">
        <v>0.6875</v>
      </c>
      <c r="E68" s="26"/>
      <c r="F68" s="37"/>
      <c r="G68" s="28"/>
      <c r="H68" s="30"/>
      <c r="I68" s="38">
        <v>5</v>
      </c>
      <c r="J68" t="s">
        <v>92</v>
      </c>
      <c r="K68" s="31"/>
      <c r="L68" s="39"/>
      <c r="M68" s="39"/>
      <c r="N68" s="39"/>
      <c r="O68" s="39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 spans="1:39" x14ac:dyDescent="0.25">
      <c r="A69" s="25"/>
      <c r="B69" s="22"/>
      <c r="C69" s="26"/>
      <c r="D69" s="26"/>
      <c r="E69" s="26"/>
      <c r="F69" s="15"/>
      <c r="G69" s="28"/>
      <c r="H69" s="30"/>
      <c r="I69" s="18"/>
      <c r="J69" s="31"/>
      <c r="K69" s="31"/>
      <c r="L69" s="23"/>
      <c r="M69" s="23"/>
      <c r="N69" s="39"/>
      <c r="O69" s="39"/>
    </row>
    <row r="70" spans="1:39" x14ac:dyDescent="0.25">
      <c r="A70" s="25">
        <v>46153</v>
      </c>
      <c r="B70" s="22"/>
      <c r="C70" s="26">
        <v>0.33333333333333331</v>
      </c>
      <c r="D70" s="26">
        <v>0.72916666666666663</v>
      </c>
      <c r="E70" s="26">
        <v>0.625</v>
      </c>
      <c r="F70" s="15">
        <v>0.64583333333333337</v>
      </c>
      <c r="G70" s="28"/>
      <c r="H70" s="30"/>
      <c r="I70" s="18">
        <v>9</v>
      </c>
      <c r="J70" s="31" t="s">
        <v>93</v>
      </c>
      <c r="K70" s="31"/>
      <c r="L70" s="23"/>
      <c r="M70" s="23"/>
      <c r="N70" s="23"/>
      <c r="O70" s="23"/>
    </row>
    <row r="71" spans="1:39" x14ac:dyDescent="0.25">
      <c r="A71" s="25">
        <v>46154</v>
      </c>
      <c r="B71" s="22"/>
      <c r="C71" s="26">
        <v>0.33333333333333331</v>
      </c>
      <c r="D71" s="26">
        <v>0.72916666666666663</v>
      </c>
      <c r="E71" s="26">
        <v>0.64583333333333337</v>
      </c>
      <c r="F71" s="15">
        <v>0.66666666666666663</v>
      </c>
      <c r="G71" s="28"/>
      <c r="H71" s="30"/>
      <c r="I71" s="18">
        <v>9</v>
      </c>
      <c r="J71" s="31" t="s">
        <v>94</v>
      </c>
      <c r="K71" s="31"/>
      <c r="L71" s="23"/>
      <c r="M71" s="23"/>
      <c r="N71" s="23"/>
      <c r="O71" s="23"/>
    </row>
    <row r="72" spans="1:39" x14ac:dyDescent="0.25">
      <c r="A72" s="25">
        <v>46155</v>
      </c>
      <c r="B72" s="22"/>
      <c r="C72" s="26">
        <v>0.33333333333333331</v>
      </c>
      <c r="D72" s="26">
        <v>0.72916666666666663</v>
      </c>
      <c r="E72" s="26">
        <v>0.60416666666666663</v>
      </c>
      <c r="F72" s="15">
        <v>0.625</v>
      </c>
      <c r="G72" s="27"/>
      <c r="H72" s="29"/>
      <c r="I72" s="18">
        <v>9</v>
      </c>
      <c r="J72" s="31" t="s">
        <v>94</v>
      </c>
      <c r="K72" s="31"/>
      <c r="L72" s="23"/>
      <c r="M72" s="23"/>
      <c r="N72" s="23"/>
      <c r="O72" s="23"/>
    </row>
    <row r="73" spans="1:39" x14ac:dyDescent="0.25">
      <c r="A73" s="24">
        <v>46156</v>
      </c>
      <c r="B73" s="22"/>
      <c r="C73" s="14"/>
      <c r="D73" s="14"/>
      <c r="E73" s="14"/>
      <c r="F73" s="15"/>
      <c r="G73" s="16"/>
      <c r="H73" s="17"/>
      <c r="I73" s="18"/>
      <c r="J73" s="19" t="s">
        <v>67</v>
      </c>
      <c r="K73" s="20"/>
      <c r="L73" s="21"/>
      <c r="M73" s="21"/>
      <c r="N73" s="23"/>
      <c r="O73" s="23"/>
    </row>
    <row r="74" spans="1:39" x14ac:dyDescent="0.25">
      <c r="A74" s="24">
        <v>46157</v>
      </c>
      <c r="B74" s="22"/>
      <c r="C74" s="14">
        <v>0.33333333333333331</v>
      </c>
      <c r="D74" s="14">
        <v>0.72916666666666663</v>
      </c>
      <c r="E74" s="14">
        <v>0.64583333333333337</v>
      </c>
      <c r="F74" s="15">
        <v>0.66666666666666663</v>
      </c>
      <c r="G74" s="16"/>
      <c r="H74" s="17"/>
      <c r="I74" s="18">
        <v>9</v>
      </c>
      <c r="J74" s="19" t="s">
        <v>95</v>
      </c>
      <c r="K74" s="20"/>
      <c r="L74" s="21"/>
      <c r="M74" s="21"/>
      <c r="N74" s="23"/>
      <c r="O74" s="23"/>
    </row>
    <row r="75" spans="1:39" ht="14.25" customHeight="1" x14ac:dyDescent="0.25">
      <c r="A75" s="24"/>
      <c r="B75" s="22"/>
      <c r="C75" s="14"/>
      <c r="D75" s="14"/>
      <c r="E75" s="14"/>
      <c r="F75" s="15"/>
      <c r="G75" s="16"/>
      <c r="H75" s="17"/>
      <c r="I75" s="18"/>
      <c r="J75" s="19"/>
      <c r="K75" s="20"/>
      <c r="L75" s="21"/>
      <c r="M75" s="21"/>
      <c r="N75" s="23"/>
      <c r="O75" s="23"/>
    </row>
    <row r="76" spans="1:39" x14ac:dyDescent="0.25">
      <c r="A76" s="24">
        <v>46160</v>
      </c>
      <c r="B76" s="22"/>
      <c r="C76" s="14">
        <v>0.33333333333333331</v>
      </c>
      <c r="D76" s="14">
        <v>0.72916666666666663</v>
      </c>
      <c r="E76" s="14">
        <v>0.625</v>
      </c>
      <c r="F76" s="15">
        <v>0.64583333333333337</v>
      </c>
      <c r="G76" s="16"/>
      <c r="H76" s="17"/>
      <c r="I76" s="18">
        <v>9</v>
      </c>
      <c r="J76" s="19" t="s">
        <v>96</v>
      </c>
      <c r="K76" s="20"/>
      <c r="L76" s="21"/>
      <c r="M76" s="21"/>
      <c r="N76" s="23"/>
      <c r="O76" s="23"/>
    </row>
    <row r="77" spans="1:39" x14ac:dyDescent="0.25">
      <c r="A77" s="25">
        <v>46161</v>
      </c>
      <c r="B77" s="36"/>
      <c r="C77" s="26">
        <v>0.33333333333333331</v>
      </c>
      <c r="D77" s="26">
        <v>0.72916666666666663</v>
      </c>
      <c r="E77" s="26">
        <v>0.64583333333333337</v>
      </c>
      <c r="F77" s="37" t="s">
        <v>97</v>
      </c>
      <c r="G77" s="28"/>
      <c r="H77" s="30"/>
      <c r="I77" s="38">
        <v>9</v>
      </c>
      <c r="J77" s="31" t="s">
        <v>98</v>
      </c>
      <c r="K77" s="31"/>
      <c r="L77" s="23"/>
      <c r="M77" s="23"/>
      <c r="N77" s="23"/>
      <c r="O77" s="23"/>
    </row>
    <row r="78" spans="1:39" x14ac:dyDescent="0.25">
      <c r="A78" s="25">
        <v>46162</v>
      </c>
      <c r="B78" s="22"/>
      <c r="C78" s="26">
        <v>0.33333333333333331</v>
      </c>
      <c r="D78" s="26">
        <v>0.72916666666666663</v>
      </c>
      <c r="E78" s="26">
        <v>0.58333333333333337</v>
      </c>
      <c r="F78" s="15">
        <v>0.60416666666666663</v>
      </c>
      <c r="G78" s="27"/>
      <c r="H78" s="29"/>
      <c r="I78" s="18">
        <v>9</v>
      </c>
      <c r="J78" s="31" t="s">
        <v>99</v>
      </c>
      <c r="K78" s="31"/>
      <c r="L78" s="23"/>
      <c r="M78" s="23"/>
      <c r="N78" s="23"/>
      <c r="O78" s="23"/>
    </row>
    <row r="79" spans="1:39" x14ac:dyDescent="0.25">
      <c r="A79" s="25">
        <v>46163</v>
      </c>
      <c r="B79" s="22"/>
      <c r="C79" s="26">
        <v>0.33333333333333331</v>
      </c>
      <c r="D79" s="26">
        <v>0.72916666666666663</v>
      </c>
      <c r="E79" s="26">
        <v>0.60416666666666663</v>
      </c>
      <c r="F79" s="15">
        <v>0.625</v>
      </c>
      <c r="G79" s="27"/>
      <c r="H79" s="29"/>
      <c r="I79" s="18">
        <v>9</v>
      </c>
      <c r="J79" s="31" t="s">
        <v>100</v>
      </c>
      <c r="K79" s="31"/>
      <c r="L79" s="23"/>
      <c r="M79" s="23"/>
      <c r="N79" s="23"/>
      <c r="O79" s="23"/>
    </row>
    <row r="80" spans="1:39" x14ac:dyDescent="0.25">
      <c r="A80" s="25">
        <v>46164</v>
      </c>
      <c r="B80" s="22"/>
      <c r="C80" s="26">
        <v>0.33333333333333331</v>
      </c>
      <c r="D80" s="26">
        <v>0.72916666666666663</v>
      </c>
      <c r="E80" s="26">
        <v>0.58333333333333337</v>
      </c>
      <c r="F80" s="15">
        <v>0.60416666666666663</v>
      </c>
      <c r="G80" s="27"/>
      <c r="H80" s="29"/>
      <c r="I80" s="18">
        <v>9</v>
      </c>
      <c r="J80" s="31" t="s">
        <v>101</v>
      </c>
      <c r="K80" s="31"/>
      <c r="L80" s="23"/>
      <c r="M80" s="23"/>
      <c r="N80" s="23"/>
      <c r="O80" s="23"/>
    </row>
    <row r="81" spans="1:19" x14ac:dyDescent="0.25">
      <c r="A81" s="25"/>
      <c r="B81" s="22"/>
      <c r="C81" s="26"/>
      <c r="D81" s="26"/>
      <c r="E81" s="26"/>
      <c r="F81" s="15"/>
      <c r="G81" s="27"/>
      <c r="H81" s="29"/>
      <c r="I81" s="18"/>
      <c r="J81" s="31"/>
      <c r="K81" s="31"/>
      <c r="L81" s="23"/>
      <c r="M81" s="23"/>
      <c r="N81" s="23"/>
      <c r="O81" s="23"/>
    </row>
    <row r="82" spans="1:19" x14ac:dyDescent="0.25">
      <c r="A82" s="25">
        <v>46167</v>
      </c>
      <c r="B82" s="22"/>
      <c r="C82" s="26"/>
      <c r="D82" s="26"/>
      <c r="E82" s="26"/>
      <c r="F82" s="15"/>
      <c r="G82" s="27"/>
      <c r="H82" s="29"/>
      <c r="I82" s="18"/>
      <c r="J82" s="31" t="s">
        <v>67</v>
      </c>
      <c r="K82" s="31"/>
      <c r="L82" s="23"/>
      <c r="M82" s="23"/>
      <c r="N82" s="23"/>
      <c r="O82" s="23"/>
    </row>
    <row r="83" spans="1:19" x14ac:dyDescent="0.25">
      <c r="A83" s="25">
        <v>46168</v>
      </c>
      <c r="B83" s="22"/>
      <c r="C83" s="26">
        <v>0.41666666666666669</v>
      </c>
      <c r="D83" s="26">
        <v>0.72916666666666663</v>
      </c>
      <c r="E83" s="26">
        <v>0.60416666666666663</v>
      </c>
      <c r="F83" s="15">
        <v>0.625</v>
      </c>
      <c r="G83" s="27"/>
      <c r="H83" s="29"/>
      <c r="I83" s="18">
        <v>7</v>
      </c>
      <c r="J83" s="31" t="s">
        <v>102</v>
      </c>
      <c r="K83" s="31"/>
      <c r="L83" s="23"/>
      <c r="M83" s="23"/>
      <c r="N83" s="23"/>
      <c r="O83" s="23"/>
    </row>
    <row r="84" spans="1:19" x14ac:dyDescent="0.25">
      <c r="A84" s="25">
        <v>46169</v>
      </c>
      <c r="B84" s="22"/>
      <c r="C84" s="26">
        <v>0.45833333333333331</v>
      </c>
      <c r="D84" s="26">
        <v>0.70833333333333337</v>
      </c>
      <c r="E84" s="26"/>
      <c r="F84" s="15"/>
      <c r="G84" s="27"/>
      <c r="H84" s="29"/>
      <c r="I84" s="18">
        <v>6</v>
      </c>
      <c r="J84" s="31" t="s">
        <v>101</v>
      </c>
      <c r="K84" s="31"/>
      <c r="L84" s="23"/>
      <c r="M84" s="23"/>
      <c r="N84" s="23"/>
      <c r="O84" s="23"/>
    </row>
    <row r="85" spans="1:19" x14ac:dyDescent="0.25">
      <c r="A85" s="25">
        <v>46170</v>
      </c>
      <c r="B85" s="22"/>
      <c r="C85" s="26">
        <v>0.33333333333333331</v>
      </c>
      <c r="D85" s="26">
        <v>0.72916666666666663</v>
      </c>
      <c r="E85" s="26">
        <v>0.58333333333333337</v>
      </c>
      <c r="F85" s="15">
        <v>0.60416666666666663</v>
      </c>
      <c r="G85" s="27"/>
      <c r="H85" s="29"/>
      <c r="I85" s="18">
        <v>9</v>
      </c>
      <c r="J85" s="31" t="s">
        <v>103</v>
      </c>
      <c r="K85" s="31"/>
      <c r="L85" s="23"/>
      <c r="M85" s="23"/>
      <c r="N85" s="23"/>
      <c r="O85" s="23"/>
      <c r="P85" s="27"/>
      <c r="Q85" s="29"/>
      <c r="R85" s="18"/>
      <c r="S85" s="31"/>
    </row>
    <row r="86" spans="1:19" x14ac:dyDescent="0.25">
      <c r="A86" s="25">
        <v>46171</v>
      </c>
      <c r="B86" s="22"/>
      <c r="C86" s="26">
        <v>0.44791666666666669</v>
      </c>
      <c r="D86" s="26">
        <v>0.71875</v>
      </c>
      <c r="E86" s="26"/>
      <c r="F86" s="15"/>
      <c r="G86" s="27"/>
      <c r="H86" s="29"/>
      <c r="I86" s="18">
        <v>6.5</v>
      </c>
      <c r="J86" s="31" t="s">
        <v>104</v>
      </c>
      <c r="K86" s="31"/>
      <c r="L86" s="23"/>
      <c r="M86" s="23"/>
      <c r="N86" s="23"/>
      <c r="O86" s="23"/>
      <c r="P86" s="27"/>
      <c r="Q86" s="29"/>
      <c r="R86" s="18"/>
      <c r="S86" s="31"/>
    </row>
    <row r="87" spans="1:19" x14ac:dyDescent="0.25">
      <c r="A87" s="25"/>
      <c r="B87" s="22"/>
      <c r="C87" s="26"/>
      <c r="D87" s="26"/>
      <c r="E87" s="26"/>
      <c r="F87" s="15"/>
      <c r="G87" s="27"/>
      <c r="H87" s="15"/>
      <c r="I87" s="15"/>
      <c r="J87" s="31"/>
      <c r="K87" s="31"/>
      <c r="L87" s="23"/>
      <c r="M87" s="23"/>
      <c r="N87" s="23"/>
      <c r="O87" s="23"/>
      <c r="P87" s="27"/>
      <c r="Q87" s="29"/>
      <c r="R87" s="18"/>
      <c r="S87" s="31"/>
    </row>
    <row r="88" spans="1:19" x14ac:dyDescent="0.25">
      <c r="A88" s="25">
        <v>46174</v>
      </c>
      <c r="B88" s="32"/>
      <c r="C88" s="26">
        <v>0.44791666666666669</v>
      </c>
      <c r="D88" s="26">
        <v>0.73958333333333337</v>
      </c>
      <c r="E88" s="26">
        <v>0.71875</v>
      </c>
      <c r="F88" s="15">
        <v>0.73958333333333337</v>
      </c>
      <c r="G88" s="27"/>
      <c r="H88" s="17"/>
      <c r="I88" s="18">
        <v>6.5</v>
      </c>
      <c r="J88" s="31" t="s">
        <v>105</v>
      </c>
      <c r="K88" s="31"/>
      <c r="L88" s="23"/>
      <c r="M88" s="23"/>
      <c r="N88" s="23"/>
      <c r="O88" s="23"/>
      <c r="P88" s="27"/>
      <c r="Q88" s="29"/>
      <c r="R88" s="18"/>
      <c r="S88" s="31"/>
    </row>
    <row r="89" spans="1:19" x14ac:dyDescent="0.25">
      <c r="A89" s="24">
        <v>46175</v>
      </c>
      <c r="B89" s="64"/>
      <c r="C89" s="26">
        <v>0.48958333333333331</v>
      </c>
      <c r="D89" s="62">
        <v>0.80208333333333337</v>
      </c>
      <c r="E89" s="62">
        <v>0.70833333333333337</v>
      </c>
      <c r="F89" s="51">
        <v>0.72916666666666663</v>
      </c>
      <c r="G89" s="65"/>
      <c r="H89" s="61"/>
      <c r="I89" s="18">
        <v>7</v>
      </c>
      <c r="J89" s="69" t="s">
        <v>106</v>
      </c>
      <c r="K89" s="64"/>
      <c r="L89" s="21"/>
      <c r="M89" s="14"/>
      <c r="N89" s="14"/>
      <c r="O89" s="63"/>
      <c r="P89" s="27"/>
      <c r="Q89" s="29"/>
      <c r="R89" s="18"/>
      <c r="S89" s="31"/>
    </row>
    <row r="90" spans="1:19" x14ac:dyDescent="0.25">
      <c r="A90" s="24">
        <v>46176</v>
      </c>
      <c r="B90" s="32"/>
      <c r="C90" s="14">
        <v>0.48958333333333331</v>
      </c>
      <c r="D90" s="14">
        <v>0.73958333333333337</v>
      </c>
      <c r="E90" s="14"/>
      <c r="F90" s="51"/>
      <c r="G90" s="65"/>
      <c r="H90" s="66"/>
      <c r="I90" s="18">
        <v>6</v>
      </c>
      <c r="J90" s="67" t="s">
        <v>104</v>
      </c>
      <c r="K90" s="19"/>
      <c r="L90" s="21"/>
      <c r="M90" s="14"/>
      <c r="N90" s="14"/>
      <c r="O90" s="63"/>
      <c r="P90" s="27"/>
      <c r="Q90" s="29"/>
      <c r="R90" s="18"/>
      <c r="S90" s="31"/>
    </row>
    <row r="91" spans="1:19" x14ac:dyDescent="0.25">
      <c r="A91" s="24">
        <v>46177</v>
      </c>
      <c r="B91" s="64"/>
      <c r="C91" s="26"/>
      <c r="D91" s="26"/>
      <c r="E91" s="62"/>
      <c r="F91" s="51"/>
      <c r="G91" s="65"/>
      <c r="H91" s="61"/>
      <c r="I91" s="51"/>
      <c r="J91" s="69" t="s">
        <v>67</v>
      </c>
      <c r="K91" s="64"/>
      <c r="L91" s="21"/>
      <c r="M91" s="14"/>
      <c r="N91" s="14"/>
      <c r="O91" s="63"/>
      <c r="P91" s="27"/>
      <c r="Q91" s="29"/>
      <c r="R91" s="18"/>
      <c r="S91" s="31"/>
    </row>
    <row r="92" spans="1:19" x14ac:dyDescent="0.25">
      <c r="A92" s="24">
        <v>46178</v>
      </c>
      <c r="B92" s="32"/>
      <c r="C92" s="62">
        <v>0.44791666666666669</v>
      </c>
      <c r="D92" s="62">
        <v>0.69791666666666663</v>
      </c>
      <c r="E92" s="14"/>
      <c r="F92" s="51"/>
      <c r="G92" s="65"/>
      <c r="H92" s="61"/>
      <c r="I92" s="18">
        <v>6</v>
      </c>
      <c r="J92" s="67" t="s">
        <v>107</v>
      </c>
      <c r="K92" s="19"/>
      <c r="L92" s="21"/>
      <c r="M92" s="14"/>
      <c r="N92" s="14"/>
      <c r="O92" s="63"/>
      <c r="P92" s="27"/>
      <c r="Q92" s="29"/>
      <c r="R92" s="18"/>
      <c r="S92" s="31"/>
    </row>
    <row r="93" spans="1:19" x14ac:dyDescent="0.25">
      <c r="A93" s="76"/>
      <c r="B93" s="73"/>
      <c r="C93" s="75"/>
      <c r="D93" s="74"/>
      <c r="E93" s="74"/>
      <c r="F93" s="51"/>
      <c r="G93" s="65"/>
      <c r="H93" s="61"/>
      <c r="I93" s="51"/>
      <c r="J93" s="73"/>
      <c r="K93" s="73"/>
      <c r="L93" s="79"/>
      <c r="M93" s="78"/>
      <c r="N93" s="78"/>
      <c r="O93" s="77"/>
      <c r="P93" s="27"/>
      <c r="Q93" s="29"/>
      <c r="R93" s="18"/>
      <c r="S93" s="31"/>
    </row>
    <row r="94" spans="1:19" x14ac:dyDescent="0.25">
      <c r="A94" s="68">
        <v>46181</v>
      </c>
      <c r="B94" s="55"/>
      <c r="C94" s="57">
        <v>0.42708333333333331</v>
      </c>
      <c r="D94" s="57">
        <v>0.71875</v>
      </c>
      <c r="E94" s="57">
        <v>0.69791666666666663</v>
      </c>
      <c r="F94" s="50">
        <v>0.71875</v>
      </c>
      <c r="G94" s="27"/>
      <c r="H94" s="50"/>
      <c r="I94" s="70">
        <v>6.5</v>
      </c>
      <c r="J94" s="59" t="s">
        <v>108</v>
      </c>
      <c r="K94" s="58"/>
      <c r="L94" s="23"/>
      <c r="M94" s="26"/>
      <c r="N94" s="26"/>
      <c r="O94" s="15"/>
    </row>
    <row r="95" spans="1:19" x14ac:dyDescent="0.25">
      <c r="A95" s="68">
        <v>46182</v>
      </c>
      <c r="B95" s="53"/>
      <c r="C95" s="84">
        <v>0.44791666666666669</v>
      </c>
      <c r="D95" s="71">
        <v>0.75</v>
      </c>
      <c r="E95" s="71">
        <v>0.72916666666666663</v>
      </c>
      <c r="F95" s="83">
        <v>0.75</v>
      </c>
      <c r="G95" s="27"/>
      <c r="H95" s="50"/>
      <c r="I95" s="60">
        <v>6.75</v>
      </c>
      <c r="J95" s="54" t="s">
        <v>109</v>
      </c>
      <c r="K95" s="53"/>
      <c r="L95" s="23"/>
      <c r="M95" s="26"/>
      <c r="N95" s="26"/>
      <c r="O95" s="15"/>
    </row>
    <row r="96" spans="1:19" x14ac:dyDescent="0.25">
      <c r="A96" s="68">
        <v>46183</v>
      </c>
      <c r="B96" s="55"/>
      <c r="C96" s="57">
        <v>0.42708333333333331</v>
      </c>
      <c r="D96" s="57">
        <v>0.71875</v>
      </c>
      <c r="E96" s="57">
        <v>0.69791666666666663</v>
      </c>
      <c r="F96" s="82">
        <v>0.71875</v>
      </c>
      <c r="G96" s="27"/>
      <c r="H96" s="50"/>
      <c r="I96" s="70">
        <v>6.5</v>
      </c>
      <c r="J96" s="54" t="s">
        <v>109</v>
      </c>
      <c r="K96" s="58"/>
      <c r="L96" s="49"/>
      <c r="M96" s="49"/>
      <c r="N96" s="49"/>
      <c r="O96" s="52"/>
    </row>
    <row r="97" spans="1:12" x14ac:dyDescent="0.25">
      <c r="A97" s="68">
        <v>46184</v>
      </c>
      <c r="B97" s="53"/>
      <c r="C97" s="72">
        <v>0.40625</v>
      </c>
      <c r="D97" s="81">
        <v>0.71875</v>
      </c>
      <c r="E97" s="72">
        <v>0.69791666666666663</v>
      </c>
      <c r="F97" s="82">
        <v>0.71875</v>
      </c>
      <c r="G97" s="27"/>
      <c r="H97" s="50"/>
      <c r="I97" s="70">
        <v>7</v>
      </c>
      <c r="J97" s="80" t="s">
        <v>110</v>
      </c>
      <c r="K97" s="53"/>
      <c r="L97" s="23"/>
    </row>
    <row r="98" spans="1:12" x14ac:dyDescent="0.25">
      <c r="A98" s="68">
        <v>46185</v>
      </c>
      <c r="B98" s="55"/>
      <c r="C98" s="57">
        <v>0.35416666666666669</v>
      </c>
      <c r="D98" s="57">
        <v>0.72916666666666663</v>
      </c>
      <c r="E98" s="57">
        <v>0.625</v>
      </c>
      <c r="F98" s="50">
        <v>0.64583333333333337</v>
      </c>
      <c r="G98" s="27"/>
      <c r="H98" s="50"/>
      <c r="I98" s="70">
        <v>8.5</v>
      </c>
      <c r="J98" s="58" t="s">
        <v>111</v>
      </c>
      <c r="K98" s="58"/>
      <c r="L98" s="23"/>
    </row>
    <row r="99" spans="1:12" x14ac:dyDescent="0.25">
      <c r="A99" s="86" t="s">
        <v>114</v>
      </c>
      <c r="B99" s="53"/>
      <c r="C99" s="86"/>
      <c r="D99" s="53" t="s">
        <v>113</v>
      </c>
      <c r="E99" s="53"/>
      <c r="F99" s="60"/>
      <c r="G99" s="27"/>
      <c r="H99" s="50"/>
      <c r="I99" s="60"/>
      <c r="J99" s="53"/>
      <c r="K99" s="53"/>
      <c r="L99" s="23"/>
    </row>
    <row r="100" spans="1:12" x14ac:dyDescent="0.25">
      <c r="A100" s="68">
        <v>46188</v>
      </c>
      <c r="B100" s="55"/>
      <c r="C100" s="57">
        <v>0.35416666666666669</v>
      </c>
      <c r="D100" s="57">
        <v>0.60416666666666663</v>
      </c>
      <c r="E100" s="57"/>
      <c r="F100" s="50"/>
      <c r="G100" s="27"/>
      <c r="H100" s="50"/>
      <c r="I100" s="70">
        <v>6</v>
      </c>
      <c r="J100" s="58" t="s">
        <v>112</v>
      </c>
      <c r="K100" s="58"/>
      <c r="L100" s="23"/>
    </row>
    <row r="101" spans="1:12" x14ac:dyDescent="0.25">
      <c r="A101" s="68">
        <v>46189</v>
      </c>
      <c r="B101" s="53"/>
      <c r="C101" s="53"/>
      <c r="D101" s="53"/>
      <c r="E101" s="53"/>
      <c r="F101" s="50"/>
      <c r="H101" s="50"/>
      <c r="I101" s="50"/>
      <c r="J101" s="53"/>
      <c r="K101" s="53"/>
    </row>
    <row r="102" spans="1:12" x14ac:dyDescent="0.25">
      <c r="A102" s="68">
        <v>46190</v>
      </c>
      <c r="B102" s="56"/>
      <c r="C102" s="85">
        <v>0.4861111111111111</v>
      </c>
      <c r="D102" s="85">
        <v>0.73611111111111116</v>
      </c>
      <c r="E102" s="56"/>
      <c r="F102" s="50"/>
      <c r="H102" s="50"/>
      <c r="I102" s="70">
        <v>6</v>
      </c>
      <c r="J102" s="58" t="s">
        <v>115</v>
      </c>
      <c r="K102" s="56"/>
    </row>
    <row r="103" spans="1:12" x14ac:dyDescent="0.25">
      <c r="A103" s="68">
        <v>46191</v>
      </c>
      <c r="B103" s="53"/>
      <c r="C103" s="72">
        <v>0.46527777777777773</v>
      </c>
      <c r="D103" s="90">
        <v>0.71527777777777779</v>
      </c>
      <c r="E103" s="53"/>
      <c r="F103" s="50"/>
      <c r="H103" s="50"/>
      <c r="I103" s="70">
        <v>6</v>
      </c>
      <c r="J103" s="91" t="s">
        <v>116</v>
      </c>
      <c r="K103" s="53"/>
    </row>
    <row r="104" spans="1:12" x14ac:dyDescent="0.25">
      <c r="A104" s="68">
        <v>46192</v>
      </c>
      <c r="B104" s="56"/>
      <c r="C104" s="56"/>
      <c r="D104" s="56"/>
      <c r="E104" s="56"/>
      <c r="F104" s="50"/>
      <c r="H104" s="50"/>
      <c r="I104" s="50"/>
      <c r="J104" s="56"/>
      <c r="K104" s="56"/>
    </row>
    <row r="105" spans="1:12" x14ac:dyDescent="0.25">
      <c r="A105" s="53"/>
      <c r="B105" s="53"/>
      <c r="C105" s="53"/>
      <c r="D105" s="53"/>
      <c r="E105" s="53"/>
      <c r="F105" s="50"/>
      <c r="H105" s="50"/>
      <c r="I105" s="50"/>
      <c r="J105" s="53"/>
      <c r="K105" s="53"/>
    </row>
    <row r="106" spans="1:12" x14ac:dyDescent="0.25">
      <c r="A106" s="56"/>
      <c r="B106" s="56"/>
      <c r="C106" s="56"/>
      <c r="D106" s="56"/>
      <c r="E106" s="56"/>
      <c r="F106" s="50"/>
      <c r="H106" s="50"/>
      <c r="I106" s="50"/>
      <c r="J106" s="56"/>
      <c r="K106" s="56"/>
    </row>
    <row r="107" spans="1:12" x14ac:dyDescent="0.25">
      <c r="A107" s="53"/>
      <c r="B107" s="53"/>
      <c r="C107" s="53"/>
      <c r="D107" s="53"/>
      <c r="E107" s="53"/>
      <c r="F107" s="50"/>
      <c r="H107" s="50"/>
      <c r="I107" s="50"/>
      <c r="J107" s="53"/>
      <c r="K107" s="53"/>
    </row>
    <row r="108" spans="1:12" x14ac:dyDescent="0.25">
      <c r="A108" s="56"/>
      <c r="B108" s="56"/>
      <c r="C108" s="56"/>
      <c r="D108" s="56"/>
      <c r="E108" s="56"/>
      <c r="F108" s="50"/>
      <c r="H108" s="50"/>
      <c r="I108" s="50"/>
      <c r="J108" s="56"/>
      <c r="K108" s="56"/>
    </row>
    <row r="109" spans="1:12" x14ac:dyDescent="0.25">
      <c r="A109" s="53"/>
      <c r="B109" s="53"/>
      <c r="C109" s="53"/>
      <c r="D109" s="53"/>
      <c r="E109" s="53"/>
      <c r="F109" s="50"/>
      <c r="H109" s="50"/>
      <c r="I109" s="50"/>
      <c r="J109" s="53"/>
      <c r="K109" s="53"/>
    </row>
    <row r="110" spans="1:12" x14ac:dyDescent="0.25">
      <c r="A110" s="56"/>
      <c r="B110" s="56"/>
      <c r="C110" s="56"/>
      <c r="D110" s="56"/>
      <c r="E110" s="56"/>
      <c r="F110" s="50"/>
      <c r="H110" s="50"/>
      <c r="I110" s="50"/>
      <c r="J110" s="56"/>
      <c r="K110" s="56"/>
    </row>
    <row r="111" spans="1:12" x14ac:dyDescent="0.25">
      <c r="A111" s="53"/>
      <c r="B111" s="53"/>
      <c r="C111" s="53"/>
      <c r="D111" s="53"/>
      <c r="E111" s="53"/>
      <c r="F111" s="50"/>
      <c r="H111" s="50"/>
      <c r="I111" s="50"/>
      <c r="J111" s="53"/>
      <c r="K111" s="53"/>
    </row>
    <row r="112" spans="1:12" x14ac:dyDescent="0.25">
      <c r="A112" s="25"/>
      <c r="B112" s="32"/>
      <c r="C112" s="26"/>
      <c r="D112" s="26"/>
      <c r="E112" s="26"/>
      <c r="F112" s="33" t="s">
        <v>28</v>
      </c>
      <c r="G112" s="27"/>
      <c r="H112" s="29"/>
      <c r="I112" s="34" t="e">
        <f>E5*E6</f>
        <v>#VALUE!</v>
      </c>
      <c r="J112" s="25"/>
      <c r="K112" s="22"/>
      <c r="L112" s="26"/>
    </row>
    <row r="113" spans="1:12" x14ac:dyDescent="0.25">
      <c r="A113" s="25"/>
      <c r="B113" s="32"/>
      <c r="C113" s="26"/>
      <c r="D113" s="26"/>
      <c r="E113" s="26"/>
      <c r="F113" s="35" t="s">
        <v>32</v>
      </c>
      <c r="G113" s="27"/>
      <c r="H113" s="29"/>
      <c r="I113" s="40">
        <f>SUM(I11:I106)</f>
        <v>549.75</v>
      </c>
      <c r="J113" s="25"/>
      <c r="K113" s="22"/>
      <c r="L113" s="26"/>
    </row>
    <row r="114" spans="1:12" x14ac:dyDescent="0.25">
      <c r="A114" t="s">
        <v>0</v>
      </c>
      <c r="E114" t="s">
        <v>23</v>
      </c>
      <c r="J114" s="25"/>
      <c r="K114" s="22"/>
      <c r="L114" s="26"/>
    </row>
    <row r="115" spans="1:12" x14ac:dyDescent="0.25">
      <c r="J115" s="25"/>
      <c r="K115" s="22"/>
      <c r="L115" s="26"/>
    </row>
    <row r="116" spans="1:12" x14ac:dyDescent="0.25">
      <c r="A116" t="s">
        <v>1</v>
      </c>
      <c r="E116" t="s">
        <v>2</v>
      </c>
      <c r="J116" s="25"/>
      <c r="K116" s="22"/>
      <c r="L116" s="26"/>
    </row>
    <row r="117" spans="1:12" x14ac:dyDescent="0.25">
      <c r="A117" t="s">
        <v>0</v>
      </c>
      <c r="E117" t="s">
        <v>16</v>
      </c>
      <c r="J117" s="25"/>
      <c r="K117" s="22"/>
      <c r="L117" s="26"/>
    </row>
    <row r="118" spans="1:12" x14ac:dyDescent="0.25">
      <c r="J118" s="25"/>
      <c r="K118" s="22"/>
      <c r="L118" s="26"/>
    </row>
    <row r="119" spans="1:12" x14ac:dyDescent="0.25">
      <c r="A119" s="2" t="s">
        <v>8</v>
      </c>
      <c r="B119" s="3"/>
      <c r="C119" s="2"/>
      <c r="D119" s="2"/>
      <c r="E119" s="2"/>
      <c r="F119" s="2"/>
      <c r="G119" s="2"/>
      <c r="H119" s="2"/>
      <c r="I119" s="2"/>
      <c r="J119" s="5"/>
      <c r="K119" s="5"/>
    </row>
    <row r="120" spans="1:12" x14ac:dyDescent="0.25">
      <c r="A120" s="9" t="s">
        <v>24</v>
      </c>
      <c r="B120" s="9" t="s">
        <v>24</v>
      </c>
      <c r="C120" s="9" t="s">
        <v>24</v>
      </c>
      <c r="D120" s="9" t="s">
        <v>24</v>
      </c>
      <c r="E120" s="9" t="s">
        <v>24</v>
      </c>
      <c r="F120" s="9" t="s">
        <v>24</v>
      </c>
      <c r="G120" s="9" t="s">
        <v>24</v>
      </c>
      <c r="H120" s="9" t="s">
        <v>24</v>
      </c>
      <c r="I120" s="9" t="s">
        <v>24</v>
      </c>
      <c r="J120" s="9" t="s">
        <v>24</v>
      </c>
      <c r="K120" s="5"/>
    </row>
    <row r="121" spans="1:12" x14ac:dyDescent="0.25">
      <c r="A121" s="9" t="s">
        <v>25</v>
      </c>
      <c r="B121" s="2"/>
      <c r="C121" s="2"/>
      <c r="D121" s="2"/>
      <c r="E121" s="2"/>
      <c r="F121" s="2"/>
      <c r="G121" s="2"/>
      <c r="H121" s="2"/>
      <c r="I121" s="2"/>
      <c r="J121" s="5"/>
      <c r="K121" s="5"/>
    </row>
    <row r="122" spans="1:12" x14ac:dyDescent="0.25">
      <c r="A122" s="9" t="s">
        <v>6</v>
      </c>
    </row>
    <row r="123" spans="1:12" x14ac:dyDescent="0.25">
      <c r="A123" s="9" t="s">
        <v>5</v>
      </c>
    </row>
    <row r="124" spans="1:12" x14ac:dyDescent="0.25">
      <c r="A124" s="9" t="s">
        <v>7</v>
      </c>
    </row>
  </sheetData>
  <sheetProtection selectLockedCells="1"/>
  <mergeCells count="5">
    <mergeCell ref="A7:K8"/>
    <mergeCell ref="A6:D6"/>
    <mergeCell ref="A1:I1"/>
    <mergeCell ref="A3:D3"/>
    <mergeCell ref="A4:D4"/>
  </mergeCells>
  <conditionalFormatting sqref="I45:I67 I69:I76 I78:I82 I11:I16 R85:R93 I19">
    <cfRule type="cellIs" dxfId="52" priority="32" operator="greaterThan">
      <formula>10</formula>
    </cfRule>
  </conditionalFormatting>
  <conditionalFormatting sqref="I25:I29">
    <cfRule type="cellIs" dxfId="51" priority="28" operator="greaterThan">
      <formula>10</formula>
    </cfRule>
  </conditionalFormatting>
  <conditionalFormatting sqref="I40:I44">
    <cfRule type="cellIs" dxfId="50" priority="24" operator="greaterThan">
      <formula>10</formula>
    </cfRule>
  </conditionalFormatting>
  <conditionalFormatting sqref="I20:I23">
    <cfRule type="cellIs" dxfId="49" priority="30" operator="greaterThan">
      <formula>10</formula>
    </cfRule>
  </conditionalFormatting>
  <conditionalFormatting sqref="I24">
    <cfRule type="cellIs" dxfId="48" priority="29" operator="greaterThan">
      <formula>10</formula>
    </cfRule>
  </conditionalFormatting>
  <conditionalFormatting sqref="I30:I34">
    <cfRule type="cellIs" dxfId="47" priority="27" operator="greaterThan">
      <formula>10</formula>
    </cfRule>
  </conditionalFormatting>
  <conditionalFormatting sqref="I35:I39">
    <cfRule type="cellIs" dxfId="46" priority="26" operator="greaterThan">
      <formula>10</formula>
    </cfRule>
  </conditionalFormatting>
  <conditionalFormatting sqref="I83:I86">
    <cfRule type="cellIs" dxfId="45" priority="22" operator="greaterThan">
      <formula>10</formula>
    </cfRule>
  </conditionalFormatting>
  <conditionalFormatting sqref="I18">
    <cfRule type="cellIs" dxfId="44" priority="13" operator="greaterThan">
      <formula>10</formula>
    </cfRule>
  </conditionalFormatting>
  <conditionalFormatting sqref="I17">
    <cfRule type="cellIs" dxfId="43" priority="12" operator="greaterThan">
      <formula>10</formula>
    </cfRule>
  </conditionalFormatting>
  <conditionalFormatting sqref="I88">
    <cfRule type="cellIs" dxfId="42" priority="11" operator="greaterThan">
      <formula>10</formula>
    </cfRule>
  </conditionalFormatting>
  <conditionalFormatting sqref="I90">
    <cfRule type="cellIs" dxfId="41" priority="10" operator="greaterThan">
      <formula>10</formula>
    </cfRule>
  </conditionalFormatting>
  <conditionalFormatting sqref="I89">
    <cfRule type="cellIs" dxfId="40" priority="9" operator="greaterThan">
      <formula>10</formula>
    </cfRule>
  </conditionalFormatting>
  <conditionalFormatting sqref="I92">
    <cfRule type="cellIs" dxfId="39" priority="8" operator="greaterThan">
      <formula>10</formula>
    </cfRule>
  </conditionalFormatting>
  <conditionalFormatting sqref="I94">
    <cfRule type="cellIs" dxfId="38" priority="7" operator="greaterThan">
      <formula>10</formula>
    </cfRule>
  </conditionalFormatting>
  <conditionalFormatting sqref="I96">
    <cfRule type="cellIs" dxfId="37" priority="6" operator="greaterThan">
      <formula>10</formula>
    </cfRule>
  </conditionalFormatting>
  <conditionalFormatting sqref="I97">
    <cfRule type="cellIs" dxfId="36" priority="5" operator="greaterThan">
      <formula>10</formula>
    </cfRule>
  </conditionalFormatting>
  <conditionalFormatting sqref="I98">
    <cfRule type="cellIs" dxfId="35" priority="4" operator="greaterThan">
      <formula>10</formula>
    </cfRule>
  </conditionalFormatting>
  <conditionalFormatting sqref="I100">
    <cfRule type="cellIs" dxfId="34" priority="3" operator="greaterThan">
      <formula>10</formula>
    </cfRule>
  </conditionalFormatting>
  <conditionalFormatting sqref="I102">
    <cfRule type="cellIs" dxfId="33" priority="2" operator="greaterThan">
      <formula>10</formula>
    </cfRule>
  </conditionalFormatting>
  <conditionalFormatting sqref="I103">
    <cfRule type="cellIs" dxfId="0" priority="1" operator="greaterThan">
      <formula>10</formula>
    </cfRule>
  </conditionalFormatting>
  <dataValidations count="2">
    <dataValidation type="time" allowBlank="1" showInputMessage="1" showErrorMessage="1" sqref="L112:L118 C11:E61 C65:E76 C88:C89 C90:D90 M94:N96 C94:E94 C98:E98 C112:E113 G23:G24 M89:N92 D95:F95 C96:F96 D97 F97 E78:E92 C78:D87 C100:E100" xr:uid="{00000000-0002-0000-0000-000000000000}">
      <formula1>0</formula1>
      <formula2>0.999988425925926</formula2>
    </dataValidation>
    <dataValidation allowBlank="1" showErrorMessage="1" errorTitle="Nur den Tag eingeben!" error="Dropdown benutzen_x000a__x000a_Ganze Zahl zwischen 1 und 31" sqref="A11:A61 A65:A76 A94:A98 A78:A92 A110:E110 A100:A104 J112:J118 J104:K104 B102:E102 A106:E106 J106:K106 J108:K108 A108:E108 J110:K110 B104:E104 A112:A113 K102 D103" xr:uid="{00000000-0002-0000-0000-000001000000}"/>
  </dataValidations>
  <hyperlinks>
    <hyperlink ref="L11" r:id="rId1" location="31ea/embedded/m=and&amp;q=Pololu+Ball+Caster+with+1%2F2+inch" display="https://eckstein-shop.de/Pololu-Ball-Caster-with-1-2-inch-Plastic-Ball-952?ws_oss_lieferland=CH&amp;gad_source=1&amp;gad_campaignid=22872305505&amp;gbraid=0AAAAADm3HmniBJBtbrYLa4QYNpQCux8yN&amp;gclid=EAIaIQobChMIvM_9i8uDkwMVNYuDBx3hsSXSEAQYASABEgKxGPD_BwE#31ea/embedded/m=and&amp;q=Pololu+Ball+Caster+with+1%2F2+inch" xr:uid="{E89189C7-C9BC-4B2A-9EF9-20E895EE4A5C}"/>
    <hyperlink ref="M11" r:id="rId2" xr:uid="{61C58C32-7C14-49E9-91DA-43BBF23FCF75}"/>
    <hyperlink ref="M12" r:id="rId3" xr:uid="{E6096D00-CB4B-4E5F-9C11-484519CBEDD0}"/>
    <hyperlink ref="L12" r:id="rId4" xr:uid="{5FB6E770-5C2C-421A-BEA3-4626507A39E5}"/>
    <hyperlink ref="N12" r:id="rId5" xr:uid="{FA5D7B33-A955-492D-8076-8A3ECC0F9157}"/>
    <hyperlink ref="M13" r:id="rId6" xr:uid="{B4CD65A8-EA43-43FC-8246-02A7C9B5B5DD}"/>
    <hyperlink ref="O12" r:id="rId7" xr:uid="{F17F843E-F61B-4B10-BD23-2BF53CF81A06}"/>
  </hyperlinks>
  <pageMargins left="0.70866141732283472" right="0.70866141732283472" top="0.78740157480314965" bottom="0.78740157480314965" header="0.31496062992125984" footer="0.31496062992125984"/>
  <pageSetup paperSize="9" scale="70" fitToHeight="0" orientation="landscape" r:id="rId8"/>
  <headerFooter>
    <oddFooter>&amp;C&amp;A&amp;RDruck: &amp;D &amp;T</oddFooter>
  </headerFooter>
  <drawing r:id="rId9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SHK Stundennachweis</vt:lpstr>
      <vt:lpstr>'SHK Stundennachweis'!Druckbereich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Cornelia Orendi</dc:creator>
  <cp:lastModifiedBy>HSHL-User</cp:lastModifiedBy>
  <cp:lastPrinted>2013-06-21T10:32:10Z</cp:lastPrinted>
  <dcterms:created xsi:type="dcterms:W3CDTF">2011-09-02T06:06:59Z</dcterms:created>
  <dcterms:modified xsi:type="dcterms:W3CDTF">2026-06-18T14:00:38Z</dcterms:modified>
</cp:coreProperties>
</file>